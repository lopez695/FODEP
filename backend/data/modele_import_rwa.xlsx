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0" yWindow="0" windowWidth="19200" windowHeight="7980" tabRatio="600" firstSheet="0" activeTab="0" autoFilterDateGrouping="1"/>
  </bookViews>
  <sheets>
    <sheet name="Template données" sheetId="1" state="visible" r:id="rId1"/>
    <sheet name="CRM_financée" sheetId="2" state="visible" r:id="rId2"/>
    <sheet name="CRM_non_financee" sheetId="3" state="visible" r:id="rId3"/>
    <sheet name="Traitement_HB" sheetId="4" state="visible" r:id="rId4"/>
    <sheet name="LISTE" sheetId="5" state="visible" r:id="rId5"/>
    <sheet name="(a) souverains" sheetId="6" state="visible" r:id="rId6"/>
    <sheet name="(b) organismes pub. hors Adm c" sheetId="7" state="visible" r:id="rId7"/>
    <sheet name="(c) Expositions sur les BMD" sheetId="8" state="visible" r:id="rId8"/>
    <sheet name="(d) institutions financières" sheetId="9" state="visible" r:id="rId9"/>
    <sheet name="(e) entreprises" sheetId="10" state="visible" r:id="rId10"/>
    <sheet name="(f) clientèle de détail" sheetId="11" state="visible" r:id="rId11"/>
    <sheet name="(g) prêts garantis par l'immo R" sheetId="12" state="visible" r:id="rId12"/>
    <sheet name="(h) prêts garantis par l'immo C" sheetId="13" state="visible" r:id="rId13"/>
    <sheet name="(i) créances en souffrance" sheetId="14" state="visible" r:id="rId14"/>
    <sheet name="(j) créances à risque élevé" sheetId="15" state="visible" r:id="rId15"/>
    <sheet name="(k) autres actifs" sheetId="16" state="visible" r:id="rId16"/>
    <sheet name="(l) Hors bilan" sheetId="17" state="visible" r:id="rId17"/>
    <sheet name="Mapping des pondérations" sheetId="18" state="visible" r:id="rId18"/>
    <sheet name="Ref_Ponderation" sheetId="19" state="visible" r:id="rId19"/>
    <sheet name="Guide" sheetId="20" state="visible" r:id="rId20"/>
    <sheet name="Listes (completees)" sheetId="21" state="hidden" r:id="rId21"/>
  </sheets>
  <definedNames>
    <definedName name="LISTCRM">LISTE!$G$3:$G$4</definedName>
    <definedName name="NonEligible">LISTE!$H$3</definedName>
  </definedNames>
  <calcPr calcId="191029" fullCalcOnLoad="1"/>
</workbook>
</file>

<file path=xl/styles.xml><?xml version="1.0" encoding="utf-8"?>
<styleSheet xmlns="http://schemas.openxmlformats.org/spreadsheetml/2006/main">
  <numFmts count="0"/>
  <fonts count="53">
    <font>
      <name val="Calibri"/>
      <family val="2"/>
      <color theme="1"/>
      <sz val="11"/>
    </font>
    <font>
      <name val="Cambria"/>
      <color theme="1"/>
      <sz val="11"/>
    </font>
    <font>
      <name val="Cambria"/>
      <color rgb="FF002060"/>
      <sz val="12"/>
    </font>
    <font>
      <name val="Times New Roman"/>
      <family val="1"/>
      <b val="1"/>
      <color theme="0"/>
      <sz val="12"/>
    </font>
    <font>
      <name val="Times New Roman"/>
      <color rgb="FF002060"/>
      <sz val="12"/>
    </font>
    <font>
      <name val="Calibri"/>
      <color rgb="FF9C6500"/>
      <sz val="11"/>
      <scheme val="minor"/>
    </font>
    <font>
      <name val="Calibri"/>
      <b val="1"/>
      <color theme="1"/>
      <sz val="11"/>
    </font>
    <font>
      <name val="Times New Roman"/>
      <b val="1"/>
      <color theme="0"/>
      <sz val="12"/>
    </font>
    <font>
      <name val="Times New Roman"/>
      <sz val="12"/>
    </font>
    <font>
      <name val="Calibri"/>
      <sz val="11"/>
    </font>
    <font>
      <name val="Times New Roman"/>
      <b val="1"/>
      <color theme="1"/>
      <sz val="11"/>
    </font>
    <font>
      <name val="Times New Roman"/>
      <color theme="1"/>
      <sz val="11"/>
    </font>
    <font>
      <name val="Times New Roman"/>
      <b val="1"/>
      <color rgb="FFFF0000"/>
      <sz val="12"/>
    </font>
    <font>
      <name val="Times New Roman"/>
      <b val="1"/>
      <color rgb="FFFF0000"/>
      <sz val="11"/>
    </font>
    <font>
      <name val="Times New Roman"/>
      <color rgb="FF00B050"/>
      <sz val="11"/>
    </font>
    <font>
      <name val="Calibri"/>
      <color rgb="FF00B050"/>
      <sz val="11"/>
    </font>
    <font>
      <name val="Times New Roman"/>
      <color rgb="FFFF0000"/>
      <sz val="11"/>
    </font>
    <font>
      <name val="Times New Roman"/>
      <color theme="1"/>
      <sz val="12"/>
    </font>
    <font>
      <name val="Times New Roman"/>
      <color rgb="FF00B050"/>
      <sz val="12"/>
    </font>
    <font>
      <name val="Times New Roman"/>
      <b val="1"/>
      <color theme="5" tint="-0.249977111117893"/>
      <sz val="10"/>
    </font>
    <font>
      <name val="Calibri"/>
      <b val="1"/>
      <color theme="5" tint="-0.249977111117893"/>
      <sz val="11"/>
    </font>
    <font>
      <name val="Calibri"/>
      <b val="1"/>
      <color rgb="FFC00000"/>
      <sz val="11"/>
    </font>
    <font>
      <name val="Times New Roman"/>
      <b val="1"/>
      <color theme="1"/>
      <sz val="12"/>
    </font>
    <font>
      <name val="Times New Roman"/>
      <b val="1"/>
      <color rgb="FFFF0000"/>
      <sz val="14"/>
    </font>
    <font>
      <name val="Calibri"/>
      <color theme="1"/>
      <sz val="14"/>
    </font>
    <font>
      <name val="Calibri"/>
      <color theme="1"/>
      <sz val="12"/>
    </font>
    <font>
      <name val="Calibri"/>
      <color rgb="FFFF0000"/>
      <sz val="12"/>
    </font>
    <font>
      <name val="Cambria"/>
      <color theme="0"/>
      <sz val="11"/>
    </font>
    <font>
      <name val="Cambria"/>
      <color rgb="FF002060"/>
      <sz val="11"/>
    </font>
    <font>
      <name val="Cambria"/>
      <b val="1"/>
      <color rgb="FF002060"/>
      <sz val="12"/>
    </font>
    <font>
      <name val="Calibri"/>
      <color rgb="FF002060"/>
      <sz val="11"/>
    </font>
    <font>
      <name val="Cambria"/>
      <color theme="0"/>
      <sz val="12"/>
    </font>
    <font>
      <name val="Cambria"/>
      <color theme="1"/>
      <sz val="12"/>
    </font>
    <font>
      <name val="Cambria"/>
      <b val="1"/>
      <color theme="1"/>
      <sz val="14"/>
    </font>
    <font>
      <name val="Calibri"/>
      <b val="1"/>
      <color rgb="FFFFFFFF"/>
      <sz val="11"/>
    </font>
    <font>
      <name val="Calibri"/>
      <b val="1"/>
      <color rgb="FFFFFFFF"/>
      <sz val="14"/>
    </font>
    <font>
      <name val="Arial"/>
      <sz val="10"/>
    </font>
    <font>
      <name val="Times New Roman"/>
      <family val="1"/>
      <b val="1"/>
      <sz val="12"/>
    </font>
    <font>
      <name val="Times New Roman"/>
      <family val="1"/>
      <sz val="12"/>
    </font>
    <font>
      <name val="Calibri"/>
      <family val="2"/>
      <color theme="1"/>
      <sz val="11"/>
    </font>
    <font>
      <name val="Calibri"/>
      <family val="2"/>
      <color rgb="FF002060"/>
      <sz val="11"/>
    </font>
    <font>
      <name val="Cambria"/>
      <family val="1"/>
      <color rgb="FF002060"/>
      <sz val="12"/>
    </font>
    <font>
      <name val="Calibri"/>
      <family val="2"/>
      <color rgb="FF002060"/>
      <sz val="11"/>
      <scheme val="minor"/>
    </font>
    <font>
      <name val="Calibri"/>
      <family val="2"/>
      <color theme="0"/>
      <sz val="11"/>
    </font>
    <font>
      <name val="Cambria"/>
      <family val="1"/>
      <color theme="1"/>
      <sz val="11"/>
    </font>
    <font>
      <name val="Cambria"/>
      <family val="1"/>
      <color rgb="FF002060"/>
      <sz val="11"/>
    </font>
    <font>
      <name val="Cambria"/>
      <family val="1"/>
      <color theme="0"/>
      <sz val="12"/>
    </font>
    <font>
      <name val="Calibri"/>
      <family val="2"/>
      <color theme="0"/>
      <sz val="18"/>
    </font>
    <font>
      <name val="Times New Roman"/>
      <family val="1"/>
      <color theme="1"/>
      <sz val="12"/>
    </font>
    <font>
      <name val="Cambria"/>
      <family val="1"/>
      <color rgb="FFFF0000"/>
      <sz val="11"/>
    </font>
    <font>
      <b val="1"/>
      <color rgb="00475569"/>
      <sz val="10"/>
    </font>
    <font>
      <b val="1"/>
      <sz val="9"/>
    </font>
    <font>
      <b val="1"/>
      <color rgb="001D4ED8"/>
      <sz val="10"/>
    </font>
  </fonts>
  <fills count="33">
    <fill>
      <patternFill/>
    </fill>
    <fill>
      <patternFill patternType="gray125"/>
    </fill>
    <fill>
      <patternFill patternType="solid">
        <fgColor theme="7" tint="-0.249977111117893"/>
        <bgColor indexed="64"/>
      </patternFill>
    </fill>
    <fill>
      <patternFill patternType="solid">
        <fgColor rgb="FF00B050"/>
        <bgColor indexed="64"/>
      </patternFill>
    </fill>
    <fill>
      <patternFill patternType="solid">
        <fgColor rgb="FFC00000"/>
        <bgColor indexed="64"/>
      </patternFill>
    </fill>
    <fill>
      <patternFill patternType="solid">
        <fgColor rgb="FF002060"/>
        <bgColor indexed="64"/>
      </patternFill>
    </fill>
    <fill>
      <patternFill patternType="solid">
        <fgColor rgb="FFFFEB9C"/>
      </patternFill>
    </fill>
    <fill>
      <patternFill patternType="solid">
        <fgColor theme="7" tint="0.7999511703848384"/>
        <bgColor indexed="65"/>
      </patternFill>
    </fill>
    <fill>
      <patternFill patternType="solid">
        <fgColor theme="9" tint="0.3999755851924192"/>
        <bgColor indexed="65"/>
      </patternFill>
    </fill>
    <fill>
      <patternFill patternType="solid">
        <fgColor theme="2"/>
      </patternFill>
    </fill>
    <fill>
      <patternFill patternType="solid">
        <fgColor rgb="FF00B050"/>
      </patternFill>
    </fill>
    <fill>
      <patternFill patternType="solid">
        <fgColor theme="7" tint="-0.249977111117893"/>
        <bgColor indexed="65"/>
      </patternFill>
    </fill>
    <fill>
      <patternFill patternType="solid">
        <fgColor rgb="FF002060"/>
      </patternFill>
    </fill>
    <fill>
      <patternFill patternType="solid">
        <fgColor theme="2" tint="-0.249977111117893"/>
        <bgColor indexed="65"/>
      </patternFill>
    </fill>
    <fill>
      <patternFill patternType="solid">
        <fgColor theme="4" tint="0.5999633777886288"/>
        <bgColor indexed="65"/>
      </patternFill>
    </fill>
    <fill>
      <patternFill patternType="solid">
        <fgColor theme="4" tint="0.3999755851924192"/>
        <bgColor indexed="65"/>
      </patternFill>
    </fill>
    <fill>
      <patternFill patternType="solid">
        <fgColor theme="9" tint="0.7999511703848384"/>
        <bgColor indexed="65"/>
      </patternFill>
    </fill>
    <fill>
      <patternFill patternType="solid">
        <fgColor rgb="FFD0CECE"/>
      </patternFill>
    </fill>
    <fill>
      <patternFill patternType="solid">
        <fgColor rgb="FF0070C0"/>
      </patternFill>
    </fill>
    <fill>
      <patternFill patternType="solid">
        <fgColor theme="4" tint="0.7999511703848384"/>
        <bgColor indexed="65"/>
      </patternFill>
    </fill>
    <fill>
      <patternFill patternType="solid">
        <fgColor theme="0"/>
      </patternFill>
    </fill>
    <fill>
      <patternFill patternType="solid">
        <fgColor theme="4"/>
      </patternFill>
    </fill>
    <fill>
      <patternFill patternType="solid">
        <fgColor theme="8" tint="0.7999511703848384"/>
        <bgColor indexed="65"/>
      </patternFill>
    </fill>
    <fill>
      <patternFill patternType="solid">
        <fgColor rgb="FF1F4E78"/>
      </patternFill>
    </fill>
    <fill>
      <patternFill patternType="solid">
        <fgColor rgb="FF0F766E"/>
      </patternFill>
    </fill>
    <fill>
      <patternFill patternType="solid">
        <fgColor theme="8"/>
        <bgColor indexed="64"/>
      </patternFill>
    </fill>
    <fill>
      <patternFill patternType="solid">
        <fgColor theme="5" tint="0.7999816888943144"/>
        <bgColor indexed="64"/>
      </patternFill>
    </fill>
    <fill>
      <patternFill patternType="solid">
        <fgColor theme="5"/>
        <bgColor indexed="64"/>
      </patternFill>
    </fill>
    <fill>
      <patternFill patternType="solid">
        <fgColor rgb="FF0070C0"/>
        <bgColor indexed="64"/>
      </patternFill>
    </fill>
    <fill>
      <patternFill patternType="solid">
        <fgColor theme="0"/>
        <bgColor indexed="64"/>
      </patternFill>
    </fill>
    <fill>
      <patternFill patternType="solid">
        <fgColor theme="4" tint="0.7999816888943144"/>
        <bgColor indexed="64"/>
      </patternFill>
    </fill>
    <fill>
      <patternFill patternType="solid">
        <fgColor rgb="00F1F5F9"/>
      </patternFill>
    </fill>
    <fill>
      <patternFill patternType="solid">
        <fgColor rgb="00DBEAFE"/>
      </patternFill>
    </fill>
  </fills>
  <borders count="4">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s>
  <cellStyleXfs count="5">
    <xf numFmtId="0" fontId="39" fillId="0" borderId="1"/>
    <xf numFmtId="0" fontId="5" fillId="6" borderId="1"/>
    <xf numFmtId="9" fontId="39" fillId="0" borderId="1"/>
    <xf numFmtId="0" fontId="39" fillId="0" borderId="1"/>
    <xf numFmtId="0" fontId="36" fillId="0" borderId="1"/>
  </cellStyleXfs>
  <cellXfs count="178">
    <xf numFmtId="0" fontId="0" fillId="0" borderId="0" pivotButton="0" quotePrefix="0" xfId="0"/>
    <xf numFmtId="0" fontId="0" fillId="0" borderId="0" pivotButton="0" quotePrefix="0" xfId="0"/>
    <xf numFmtId="0" fontId="1" fillId="0" borderId="0" applyAlignment="1" pivotButton="0" quotePrefix="0" xfId="0">
      <alignment vertical="top"/>
    </xf>
    <xf numFmtId="14" fontId="2" fillId="0" borderId="0" pivotButton="0" quotePrefix="0" xfId="0"/>
    <xf numFmtId="14" fontId="2" fillId="0" borderId="2" pivotButton="0" quotePrefix="0" xfId="0"/>
    <xf numFmtId="0" fontId="4" fillId="0" borderId="2" applyAlignment="1" pivotButton="0" quotePrefix="0" xfId="0">
      <alignment vertical="center" wrapText="1"/>
    </xf>
    <xf numFmtId="0" fontId="2" fillId="0" borderId="2" pivotButton="0" quotePrefix="0" xfId="0"/>
    <xf numFmtId="14" fontId="2" fillId="0" borderId="2" pivotButton="0" quotePrefix="0" xfId="0"/>
    <xf numFmtId="3" fontId="2" fillId="0" borderId="2" pivotButton="0" quotePrefix="0" xfId="0"/>
    <xf numFmtId="3" fontId="0" fillId="0" borderId="2" pivotButton="0" quotePrefix="0" xfId="0"/>
    <xf numFmtId="3" fontId="0" fillId="7" borderId="2" pivotButton="0" quotePrefix="0" xfId="0"/>
    <xf numFmtId="3" fontId="0" fillId="8" borderId="2" pivotButton="0" quotePrefix="0" xfId="0"/>
    <xf numFmtId="3" fontId="0" fillId="9" borderId="2" pivotButton="0" quotePrefix="0" xfId="0"/>
    <xf numFmtId="0" fontId="0" fillId="10" borderId="0" pivotButton="0" quotePrefix="0" xfId="0"/>
    <xf numFmtId="0" fontId="6" fillId="0" borderId="0" applyAlignment="1" pivotButton="0" quotePrefix="0" xfId="0">
      <alignment horizontal="center" vertical="center" wrapText="1"/>
    </xf>
    <xf numFmtId="0" fontId="0" fillId="0" borderId="0" applyAlignment="1" pivotButton="0" quotePrefix="0" xfId="0">
      <alignment vertical="center" wrapText="1"/>
    </xf>
    <xf numFmtId="0" fontId="7" fillId="11" borderId="2" applyAlignment="1" pivotButton="0" quotePrefix="0" xfId="0">
      <alignment wrapText="1"/>
    </xf>
    <xf numFmtId="0" fontId="7" fillId="12" borderId="2" applyAlignment="1" pivotButton="0" quotePrefix="0" xfId="0">
      <alignment wrapText="1"/>
    </xf>
    <xf numFmtId="0" fontId="6" fillId="0" borderId="0" pivotButton="0" quotePrefix="0" xfId="0"/>
    <xf numFmtId="0" fontId="0" fillId="0" borderId="2" applyAlignment="1" pivotButton="0" quotePrefix="0" xfId="0">
      <alignment wrapText="1"/>
    </xf>
    <xf numFmtId="9" fontId="0" fillId="0" borderId="2" applyAlignment="1" pivotButton="0" quotePrefix="0" xfId="0">
      <alignment wrapText="1"/>
    </xf>
    <xf numFmtId="0" fontId="0" fillId="0" borderId="2" pivotButton="0" quotePrefix="0" xfId="0"/>
    <xf numFmtId="9" fontId="0" fillId="0" borderId="2" pivotButton="0" quotePrefix="0" xfId="0"/>
    <xf numFmtId="0" fontId="7" fillId="11" borderId="2" pivotButton="0" quotePrefix="0" xfId="0"/>
    <xf numFmtId="0" fontId="7" fillId="12" borderId="2" pivotButton="0" quotePrefix="0" xfId="0"/>
    <xf numFmtId="9" fontId="0" fillId="0" borderId="2" pivotButton="0" quotePrefix="0" xfId="2"/>
    <xf numFmtId="9" fontId="0" fillId="0" borderId="2" pivotButton="0" quotePrefix="0" xfId="0"/>
    <xf numFmtId="9" fontId="2" fillId="0" borderId="2" pivotButton="0" quotePrefix="0" xfId="0"/>
    <xf numFmtId="0" fontId="0" fillId="0" borderId="2" pivotButton="0" quotePrefix="0" xfId="0"/>
    <xf numFmtId="0" fontId="8" fillId="13" borderId="0" pivotButton="0" quotePrefix="0" xfId="0"/>
    <xf numFmtId="0" fontId="9" fillId="13" borderId="0" pivotButton="0" quotePrefix="0" xfId="0"/>
    <xf numFmtId="0" fontId="10" fillId="14" borderId="2" pivotButton="0" quotePrefix="0" xfId="0"/>
    <xf numFmtId="0" fontId="11" fillId="0" borderId="2" pivotButton="0" quotePrefix="0" xfId="0"/>
    <xf numFmtId="9" fontId="11" fillId="0" borderId="2" pivotButton="0" quotePrefix="0" xfId="0"/>
    <xf numFmtId="0" fontId="11" fillId="0" borderId="0" pivotButton="0" quotePrefix="0" xfId="0"/>
    <xf numFmtId="9" fontId="11" fillId="0" borderId="0" pivotButton="0" quotePrefix="0" xfId="0"/>
    <xf numFmtId="0" fontId="12" fillId="0" borderId="0" pivotButton="0" quotePrefix="0" xfId="0"/>
    <xf numFmtId="0" fontId="11" fillId="0" borderId="2" applyAlignment="1" pivotButton="0" quotePrefix="0" xfId="0">
      <alignment horizontal="left"/>
    </xf>
    <xf numFmtId="0" fontId="0" fillId="13" borderId="0" pivotButton="0" quotePrefix="0" xfId="0"/>
    <xf numFmtId="0" fontId="10" fillId="0" borderId="0" pivotButton="0" quotePrefix="0" xfId="0"/>
    <xf numFmtId="0" fontId="10" fillId="15" borderId="2" pivotButton="0" quotePrefix="0" xfId="0"/>
    <xf numFmtId="9" fontId="0" fillId="15" borderId="0" pivotButton="0" quotePrefix="0" xfId="2"/>
    <xf numFmtId="0" fontId="6" fillId="0" borderId="0" pivotButton="0" quotePrefix="0" xfId="0"/>
    <xf numFmtId="9" fontId="0" fillId="0" borderId="0" pivotButton="0" quotePrefix="0" xfId="2"/>
    <xf numFmtId="0" fontId="13" fillId="0" borderId="0" pivotButton="0" quotePrefix="0" xfId="0"/>
    <xf numFmtId="0" fontId="11" fillId="13" borderId="0" applyAlignment="1" pivotButton="0" quotePrefix="0" xfId="0">
      <alignment horizontal="left" vertical="center"/>
    </xf>
    <xf numFmtId="0" fontId="11" fillId="13" borderId="0" pivotButton="0" quotePrefix="0" xfId="0"/>
    <xf numFmtId="0" fontId="14" fillId="0" borderId="0" applyAlignment="1" pivotButton="0" quotePrefix="0" xfId="0">
      <alignment horizontal="left" vertical="center"/>
    </xf>
    <xf numFmtId="0" fontId="15" fillId="0" borderId="0" pivotButton="0" quotePrefix="0" xfId="0"/>
    <xf numFmtId="0" fontId="16" fillId="0" borderId="0" pivotButton="0" quotePrefix="0" xfId="0"/>
    <xf numFmtId="0" fontId="0" fillId="0" borderId="0" applyAlignment="1" pivotButton="0" quotePrefix="0" xfId="0">
      <alignment horizontal="center"/>
    </xf>
    <xf numFmtId="0" fontId="12" fillId="0" borderId="0" applyAlignment="1" pivotButton="0" quotePrefix="0" xfId="0">
      <alignment horizontal="center"/>
    </xf>
    <xf numFmtId="0" fontId="17" fillId="13" borderId="0" applyAlignment="1" pivotButton="0" quotePrefix="0" xfId="0">
      <alignment horizontal="left"/>
    </xf>
    <xf numFmtId="0" fontId="12" fillId="0" borderId="0" applyAlignment="1" pivotButton="0" quotePrefix="0" xfId="0">
      <alignment horizontal="centerContinuous"/>
    </xf>
    <xf numFmtId="0" fontId="18" fillId="0" borderId="0" applyAlignment="1" pivotButton="0" quotePrefix="0" xfId="0">
      <alignment horizontal="left" wrapText="1"/>
    </xf>
    <xf numFmtId="0" fontId="17" fillId="14" borderId="2" pivotButton="0" quotePrefix="0" xfId="0"/>
    <xf numFmtId="9" fontId="17" fillId="14" borderId="2" applyAlignment="1" pivotButton="0" quotePrefix="0" xfId="0">
      <alignment horizontal="left"/>
    </xf>
    <xf numFmtId="0" fontId="19" fillId="0" borderId="0" applyAlignment="1" pivotButton="0" quotePrefix="0" xfId="0">
      <alignment horizontal="left"/>
    </xf>
    <xf numFmtId="0" fontId="20" fillId="0" borderId="0" pivotButton="0" quotePrefix="0" xfId="0"/>
    <xf numFmtId="0" fontId="21" fillId="0" borderId="0" pivotButton="0" quotePrefix="0" xfId="0"/>
    <xf numFmtId="0" fontId="12" fillId="0" borderId="0" applyAlignment="1" pivotButton="0" quotePrefix="0" xfId="0">
      <alignment horizontal="left" wrapText="1"/>
    </xf>
    <xf numFmtId="9" fontId="17" fillId="14" borderId="2" applyAlignment="1" pivotButton="0" quotePrefix="0" xfId="2">
      <alignment horizontal="left"/>
    </xf>
    <xf numFmtId="0" fontId="0" fillId="0" borderId="0" applyAlignment="1" pivotButton="0" quotePrefix="0" xfId="0">
      <alignment horizontal="left"/>
    </xf>
    <xf numFmtId="0" fontId="14" fillId="0" borderId="0" pivotButton="0" quotePrefix="0" xfId="0"/>
    <xf numFmtId="0" fontId="0" fillId="0" borderId="0" applyAlignment="1" pivotButton="0" quotePrefix="0" xfId="0">
      <alignment vertical="top" wrapText="1"/>
    </xf>
    <xf numFmtId="0" fontId="17" fillId="0" borderId="0" pivotButton="0" quotePrefix="0" xfId="0"/>
    <xf numFmtId="0" fontId="22" fillId="7" borderId="2" applyAlignment="1" pivotButton="0" quotePrefix="0" xfId="0">
      <alignment horizontal="center" vertical="center" wrapText="1"/>
    </xf>
    <xf numFmtId="0" fontId="22" fillId="0" borderId="2" applyAlignment="1" pivotButton="0" quotePrefix="0" xfId="0">
      <alignment vertical="center" wrapText="1"/>
    </xf>
    <xf numFmtId="0" fontId="17" fillId="0" borderId="2" applyAlignment="1" pivotButton="0" quotePrefix="0" xfId="0">
      <alignment vertical="center" wrapText="1"/>
    </xf>
    <xf numFmtId="0" fontId="0" fillId="15" borderId="2" pivotButton="0" quotePrefix="0" xfId="0"/>
    <xf numFmtId="9" fontId="0" fillId="15" borderId="2" applyAlignment="1" pivotButton="0" quotePrefix="0" xfId="0">
      <alignment horizontal="left"/>
    </xf>
    <xf numFmtId="0" fontId="18" fillId="0" borderId="0" pivotButton="0" quotePrefix="0" xfId="0"/>
    <xf numFmtId="0" fontId="23" fillId="0" borderId="0" applyAlignment="1" pivotButton="0" quotePrefix="0" xfId="0">
      <alignment horizontal="center"/>
    </xf>
    <xf numFmtId="0" fontId="24" fillId="0" borderId="0" pivotButton="0" quotePrefix="0" xfId="0"/>
    <xf numFmtId="0" fontId="17" fillId="13" borderId="0" applyAlignment="1" pivotButton="0" quotePrefix="0" xfId="0">
      <alignment vertical="center"/>
    </xf>
    <xf numFmtId="0" fontId="0" fillId="13" borderId="0" applyAlignment="1" pivotButton="0" quotePrefix="0" xfId="0">
      <alignment vertical="center"/>
    </xf>
    <xf numFmtId="0" fontId="17" fillId="0" borderId="0" applyAlignment="1" pivotButton="0" quotePrefix="0" xfId="0">
      <alignment vertical="center"/>
    </xf>
    <xf numFmtId="0" fontId="0" fillId="0" borderId="0" applyAlignment="1" pivotButton="0" quotePrefix="0" xfId="0">
      <alignment vertical="center"/>
    </xf>
    <xf numFmtId="0" fontId="22" fillId="0" borderId="0" pivotButton="0" quotePrefix="0" xfId="0"/>
    <xf numFmtId="0" fontId="25" fillId="0" borderId="0" pivotButton="0" quotePrefix="0" xfId="0"/>
    <xf numFmtId="0" fontId="26" fillId="0" borderId="0" pivotButton="0" quotePrefix="0" xfId="0"/>
    <xf numFmtId="0" fontId="12" fillId="0" borderId="0" applyAlignment="1" pivotButton="0" quotePrefix="0" xfId="0">
      <alignment vertical="center"/>
    </xf>
    <xf numFmtId="0" fontId="8" fillId="0" borderId="0" applyAlignment="1" pivotButton="0" quotePrefix="0" xfId="0">
      <alignment horizontal="left" vertical="center"/>
    </xf>
    <xf numFmtId="0" fontId="22" fillId="14" borderId="2" pivotButton="0" quotePrefix="0" xfId="0"/>
    <xf numFmtId="0" fontId="25" fillId="16" borderId="2" pivotButton="0" quotePrefix="0" xfId="0"/>
    <xf numFmtId="0" fontId="25" fillId="16" borderId="2" applyAlignment="1" pivotButton="0" quotePrefix="0" xfId="0">
      <alignment horizontal="left" vertical="top"/>
    </xf>
    <xf numFmtId="0" fontId="25" fillId="0" borderId="2" pivotButton="0" quotePrefix="0" xfId="0"/>
    <xf numFmtId="9" fontId="25" fillId="0" borderId="2" pivotButton="0" quotePrefix="0" xfId="0"/>
    <xf numFmtId="0" fontId="25" fillId="16" borderId="0" pivotButton="0" quotePrefix="0" xfId="0"/>
    <xf numFmtId="0" fontId="0" fillId="17" borderId="0" applyAlignment="1" pivotButton="0" quotePrefix="0" xfId="0">
      <alignment vertical="top" wrapText="1"/>
    </xf>
    <xf numFmtId="0" fontId="0" fillId="0" borderId="0" applyAlignment="1" pivotButton="0" quotePrefix="0" xfId="0">
      <alignment vertical="top"/>
    </xf>
    <xf numFmtId="0" fontId="0" fillId="0" borderId="0" pivotButton="0" quotePrefix="0" xfId="0"/>
    <xf numFmtId="0" fontId="0" fillId="14" borderId="2" pivotButton="0" quotePrefix="0" xfId="0"/>
    <xf numFmtId="9" fontId="0" fillId="14" borderId="2" pivotButton="0" quotePrefix="0" xfId="0"/>
    <xf numFmtId="0" fontId="8" fillId="13" borderId="0" applyAlignment="1" pivotButton="0" quotePrefix="0" xfId="0">
      <alignment horizontal="left" wrapText="1"/>
    </xf>
    <xf numFmtId="0" fontId="8" fillId="15" borderId="2" pivotButton="0" quotePrefix="0" xfId="0"/>
    <xf numFmtId="0" fontId="17" fillId="0" borderId="2" pivotButton="0" quotePrefix="0" xfId="0"/>
    <xf numFmtId="9" fontId="17" fillId="0" borderId="2" pivotButton="0" quotePrefix="0" xfId="0"/>
    <xf numFmtId="0" fontId="1" fillId="0" borderId="0" pivotButton="0" quotePrefix="0" xfId="0"/>
    <xf numFmtId="0" fontId="27" fillId="18" borderId="0" pivotButton="0" quotePrefix="0" xfId="0"/>
    <xf numFmtId="0" fontId="28" fillId="0" borderId="0" pivotButton="0" quotePrefix="0" xfId="0"/>
    <xf numFmtId="0" fontId="28" fillId="19" borderId="0" applyAlignment="1" pivotButton="0" quotePrefix="0" xfId="0">
      <alignment vertical="top" wrapText="1"/>
    </xf>
    <xf numFmtId="0" fontId="1" fillId="19" borderId="0" applyAlignment="1" pivotButton="0" quotePrefix="0" xfId="0">
      <alignment vertical="top"/>
    </xf>
    <xf numFmtId="0" fontId="29" fillId="14" borderId="0" pivotButton="0" quotePrefix="0" xfId="0"/>
    <xf numFmtId="0" fontId="28" fillId="14" borderId="0" pivotButton="0" quotePrefix="0" xfId="0"/>
    <xf numFmtId="0" fontId="30" fillId="19" borderId="0" pivotButton="0" quotePrefix="0" xfId="0"/>
    <xf numFmtId="0" fontId="28" fillId="19" borderId="0" pivotButton="0" quotePrefix="0" xfId="0"/>
    <xf numFmtId="0" fontId="31" fillId="18" borderId="2" pivotButton="0" quotePrefix="0" xfId="0"/>
    <xf numFmtId="0" fontId="32" fillId="20" borderId="2" pivotButton="0" quotePrefix="0" xfId="0"/>
    <xf numFmtId="9" fontId="32" fillId="20" borderId="2" pivotButton="0" quotePrefix="0" xfId="0"/>
    <xf numFmtId="0" fontId="32" fillId="19" borderId="2" pivotButton="0" quotePrefix="0" xfId="0"/>
    <xf numFmtId="9" fontId="32" fillId="19" borderId="2" pivotButton="0" quotePrefix="0" xfId="0"/>
    <xf numFmtId="0" fontId="32" fillId="19" borderId="0" pivotButton="0" quotePrefix="0" xfId="0"/>
    <xf numFmtId="0" fontId="2" fillId="14" borderId="0" pivotButton="0" quotePrefix="0" xfId="0"/>
    <xf numFmtId="0" fontId="2" fillId="20" borderId="2" pivotButton="0" quotePrefix="0" xfId="0"/>
    <xf numFmtId="9" fontId="2" fillId="20" borderId="2" pivotButton="0" quotePrefix="0" xfId="0"/>
    <xf numFmtId="0" fontId="2" fillId="19" borderId="2" pivotButton="0" quotePrefix="0" xfId="0"/>
    <xf numFmtId="9" fontId="2" fillId="19" borderId="2" pivotButton="0" quotePrefix="0" xfId="0"/>
    <xf numFmtId="0" fontId="2" fillId="20" borderId="3" pivotButton="0" quotePrefix="0" xfId="0"/>
    <xf numFmtId="9" fontId="2" fillId="20" borderId="3" pivotButton="0" quotePrefix="0" xfId="0"/>
    <xf numFmtId="0" fontId="1" fillId="19" borderId="0" pivotButton="0" quotePrefix="0" xfId="0"/>
    <xf numFmtId="0" fontId="27" fillId="21" borderId="0" pivotButton="0" quotePrefix="0" xfId="0"/>
    <xf numFmtId="0" fontId="1" fillId="22" borderId="0" applyAlignment="1" pivotButton="0" quotePrefix="0" xfId="0">
      <alignment vertical="top" wrapText="1"/>
    </xf>
    <xf numFmtId="0" fontId="1" fillId="22" borderId="0" pivotButton="0" quotePrefix="0" xfId="0"/>
    <xf numFmtId="0" fontId="33" fillId="22" borderId="0" pivotButton="0" quotePrefix="0" xfId="0"/>
    <xf numFmtId="0" fontId="27" fillId="18" borderId="2" pivotButton="0" quotePrefix="0" xfId="0"/>
    <xf numFmtId="0" fontId="28" fillId="22" borderId="2" pivotButton="0" quotePrefix="0" xfId="0"/>
    <xf numFmtId="0" fontId="28" fillId="20" borderId="2" pivotButton="0" quotePrefix="0" xfId="0"/>
    <xf numFmtId="0" fontId="34" fillId="23" borderId="0" applyAlignment="1" pivotButton="0" quotePrefix="0" xfId="0">
      <alignment horizontal="center"/>
    </xf>
    <xf numFmtId="0" fontId="0" fillId="0" borderId="0" applyAlignment="1" pivotButton="0" quotePrefix="0" xfId="0">
      <alignment wrapText="1"/>
    </xf>
    <xf numFmtId="0" fontId="40" fillId="0" borderId="0" pivotButton="0" quotePrefix="0" xfId="0"/>
    <xf numFmtId="0" fontId="40" fillId="0" borderId="2" pivotButton="0" quotePrefix="0" xfId="0"/>
    <xf numFmtId="14" fontId="41" fillId="0" borderId="2" pivotButton="0" quotePrefix="0" xfId="0"/>
    <xf numFmtId="0" fontId="3" fillId="5" borderId="2" pivotButton="0" quotePrefix="0" xfId="0"/>
    <xf numFmtId="9" fontId="0" fillId="25" borderId="2" pivotButton="0" quotePrefix="0" xfId="0"/>
    <xf numFmtId="0" fontId="0" fillId="0" borderId="1" pivotButton="0" quotePrefix="0" xfId="0"/>
    <xf numFmtId="0" fontId="3" fillId="2" borderId="2" pivotButton="0" quotePrefix="0" xfId="0"/>
    <xf numFmtId="0" fontId="3" fillId="3" borderId="2" pivotButton="0" quotePrefix="0" xfId="0"/>
    <xf numFmtId="0" fontId="3" fillId="4" borderId="2" pivotButton="0" quotePrefix="0" xfId="0"/>
    <xf numFmtId="0" fontId="3" fillId="5" borderId="2" pivotButton="0" quotePrefix="0" xfId="0"/>
    <xf numFmtId="9" fontId="42" fillId="0" borderId="2" pivotButton="0" quotePrefix="0" xfId="1"/>
    <xf numFmtId="3" fontId="40" fillId="0" borderId="2" pivotButton="0" quotePrefix="0" xfId="0"/>
    <xf numFmtId="0" fontId="40" fillId="0" borderId="0" applyAlignment="1" pivotButton="0" quotePrefix="0" xfId="0">
      <alignment horizontal="left"/>
    </xf>
    <xf numFmtId="0" fontId="0" fillId="0" borderId="3" pivotButton="0" quotePrefix="0" xfId="0"/>
    <xf numFmtId="9" fontId="0" fillId="0" borderId="3" pivotButton="0" quotePrefix="0" xfId="0"/>
    <xf numFmtId="3" fontId="0" fillId="0" borderId="3" pivotButton="0" quotePrefix="0" xfId="0"/>
    <xf numFmtId="14" fontId="2" fillId="0" borderId="1" pivotButton="0" quotePrefix="0" xfId="0"/>
    <xf numFmtId="0" fontId="0" fillId="0" borderId="1" pivotButton="0" quotePrefix="0" xfId="0"/>
    <xf numFmtId="1" fontId="0" fillId="7" borderId="2" applyAlignment="1" pivotButton="0" quotePrefix="0" xfId="0">
      <alignment wrapText="1"/>
    </xf>
    <xf numFmtId="0" fontId="0" fillId="0" borderId="0" pivotButton="0" quotePrefix="0" xfId="0"/>
    <xf numFmtId="1" fontId="0" fillId="0" borderId="1" pivotButton="0" quotePrefix="0" xfId="0"/>
    <xf numFmtId="1" fontId="7" fillId="12" borderId="2" pivotButton="0" quotePrefix="0" xfId="0"/>
    <xf numFmtId="1" fontId="0" fillId="0" borderId="2" pivotButton="0" quotePrefix="0" xfId="0"/>
    <xf numFmtId="0" fontId="0" fillId="26" borderId="2" pivotButton="0" quotePrefix="0" xfId="0"/>
    <xf numFmtId="0" fontId="0" fillId="27" borderId="1" applyAlignment="1" pivotButton="0" quotePrefix="0" xfId="0">
      <alignment horizontal="center"/>
    </xf>
    <xf numFmtId="0" fontId="43" fillId="27" borderId="1" applyAlignment="1" pivotButton="0" quotePrefix="0" xfId="0">
      <alignment horizontal="center"/>
    </xf>
    <xf numFmtId="0" fontId="41" fillId="0" borderId="2" pivotButton="0" quotePrefix="0" xfId="0"/>
    <xf numFmtId="0" fontId="41" fillId="19" borderId="2" pivotButton="0" quotePrefix="0" xfId="0"/>
    <xf numFmtId="0" fontId="1" fillId="0" borderId="2" pivotButton="0" quotePrefix="0" xfId="0"/>
    <xf numFmtId="0" fontId="41" fillId="20" borderId="2" pivotButton="0" quotePrefix="0" xfId="0"/>
    <xf numFmtId="0" fontId="44" fillId="0" borderId="2" applyAlignment="1" pivotButton="0" quotePrefix="0" xfId="0">
      <alignment wrapText="1"/>
    </xf>
    <xf numFmtId="0" fontId="46" fillId="28" borderId="2" applyAlignment="1" pivotButton="0" quotePrefix="0" xfId="0">
      <alignment horizontal="left" vertical="center"/>
    </xf>
    <xf numFmtId="0" fontId="47" fillId="4" borderId="0" pivotButton="0" quotePrefix="0" xfId="0"/>
    <xf numFmtId="9" fontId="32" fillId="29" borderId="2" pivotButton="0" quotePrefix="0" xfId="0"/>
    <xf numFmtId="0" fontId="44" fillId="30" borderId="2" applyAlignment="1" pivotButton="0" quotePrefix="0" xfId="0">
      <alignment wrapText="1"/>
    </xf>
    <xf numFmtId="0" fontId="45" fillId="0" borderId="0" applyAlignment="1" pivotButton="0" quotePrefix="0" xfId="0">
      <alignment vertical="top" wrapText="1"/>
    </xf>
    <xf numFmtId="0" fontId="48" fillId="0" borderId="2" pivotButton="0" quotePrefix="0" xfId="0"/>
    <xf numFmtId="0" fontId="3" fillId="12" borderId="2" pivotButton="0" quotePrefix="0" xfId="0"/>
    <xf numFmtId="0" fontId="0" fillId="0" borderId="0" pivotButton="0" quotePrefix="0" xfId="0"/>
    <xf numFmtId="0" fontId="0" fillId="0" borderId="0" pivotButton="0" quotePrefix="0" xfId="0"/>
    <xf numFmtId="9" fontId="0" fillId="0" borderId="2" pivotButton="0" quotePrefix="0" xfId="2"/>
    <xf numFmtId="3" fontId="0" fillId="0" borderId="2" pivotButton="0" quotePrefix="0" xfId="0"/>
    <xf numFmtId="0" fontId="35" fillId="24" borderId="0" applyAlignment="1" pivotButton="0" quotePrefix="0" xfId="0">
      <alignment horizontal="center"/>
    </xf>
    <xf numFmtId="0" fontId="0" fillId="0" borderId="0" pivotButton="0" quotePrefix="0" xfId="0"/>
    <xf numFmtId="0" fontId="50" fillId="31" borderId="0" applyAlignment="1" pivotButton="0" quotePrefix="0" xfId="0">
      <alignment horizontal="center" vertical="center" wrapText="1"/>
    </xf>
    <xf numFmtId="0" fontId="52" fillId="32" borderId="0" applyAlignment="1" pivotButton="0" quotePrefix="0" xfId="0">
      <alignment horizontal="center" vertical="center" wrapText="1"/>
    </xf>
    <xf numFmtId="0" fontId="35" fillId="24" borderId="1" applyAlignment="1" pivotButton="0" quotePrefix="0" xfId="0">
      <alignment horizontal="center"/>
    </xf>
    <xf numFmtId="0" fontId="51" fillId="0" borderId="0" pivotButton="0" quotePrefix="0" xfId="0"/>
  </cellXfs>
  <cellStyles count="5">
    <cellStyle name="Normal" xfId="0" builtinId="0"/>
    <cellStyle name="Neutre" xfId="1" builtinId="28"/>
    <cellStyle name="Pourcentage" xfId="2"/>
    <cellStyle name="Normal 2" xfId="3"/>
    <cellStyle name="Standard 3" xfId="4"/>
  </cellStyles>
  <tableStyles count="0" defaultTableStyle="TableStyleMedium9"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styles" Target="styles.xml" Id="rId22" /><Relationship Type="http://schemas.openxmlformats.org/officeDocument/2006/relationships/theme" Target="theme/theme1.xml" Id="rId23" /></Relationships>
</file>

<file path=xl/tables/table1.xml><?xml version="1.0" encoding="utf-8"?>
<table xmlns="http://schemas.openxmlformats.org/spreadsheetml/2006/main" id="1" name="Tableau4" displayName="Tableau4" ref="E3:E5" headerRowCount="1">
  <autoFilter ref="E3:E5"/>
  <tableColumns count="1">
    <tableColumn id="1" name="Type de CRM"/>
  </tableColumns>
  <tableStyleInfo name="TableStyleMedium2"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tileRect/>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codeName="Feuil1">
    <tabColor theme="5"/>
    <outlinePr summaryBelow="1" summaryRight="1"/>
    <pageSetUpPr/>
  </sheetPr>
  <dimension ref="A1:BG19"/>
  <sheetViews>
    <sheetView tabSelected="1" topLeftCell="Q1" zoomScale="70" zoomScaleNormal="70" workbookViewId="0">
      <selection activeCell="S3" sqref="S3"/>
    </sheetView>
  </sheetViews>
  <sheetFormatPr baseColWidth="10" defaultColWidth="30.6328125" defaultRowHeight="24" customHeight="1"/>
  <cols>
    <col width="18.26953125" customWidth="1" style="3" min="1" max="1"/>
    <col width="19" customWidth="1" style="3" min="2" max="2"/>
    <col width="13.81640625" bestFit="1" customWidth="1" style="3" min="3" max="3"/>
    <col width="16.54296875" bestFit="1" customWidth="1" style="3" min="4" max="4"/>
    <col width="24.90625" bestFit="1" customWidth="1" style="3" min="5" max="5"/>
    <col width="20.36328125" bestFit="1" customWidth="1" style="3" min="6" max="6"/>
    <col width="22.90625" bestFit="1" customWidth="1" style="3" min="7" max="7"/>
    <col width="31.6328125" bestFit="1" customWidth="1" style="3" min="8" max="8"/>
    <col width="18.90625" bestFit="1" customWidth="1" style="3" min="9" max="9"/>
    <col width="23.453125" bestFit="1" customWidth="1" style="3" min="10" max="10"/>
    <col width="18.54296875" bestFit="1" customWidth="1" style="3" min="11" max="11"/>
    <col width="32.7265625" customWidth="1" style="3" min="12" max="12"/>
    <col width="18.90625" bestFit="1" customWidth="1" style="3" min="13" max="13"/>
    <col width="18.36328125" bestFit="1" customWidth="1" style="3" min="14" max="14"/>
    <col width="34.90625" bestFit="1" customWidth="1" style="3" min="15" max="15"/>
    <col width="28.54296875" bestFit="1" customWidth="1" style="3" min="16" max="16"/>
    <col width="15.90625" customWidth="1" style="3" min="17" max="17"/>
    <col width="13.08984375" bestFit="1" customWidth="1" style="173" min="18" max="18"/>
    <col width="14.6328125" customWidth="1" style="173" min="19" max="19"/>
    <col width="18.81640625" customWidth="1" style="173" min="20" max="20"/>
    <col width="19.90625" customWidth="1" style="173" min="21" max="21"/>
    <col width="22.54296875" customWidth="1" style="173" min="22" max="22"/>
    <col width="18.453125" customWidth="1" style="173" min="23" max="23"/>
    <col width="16" customWidth="1" style="173" min="24" max="25"/>
    <col width="13.1796875" bestFit="1" customWidth="1" style="173" min="26" max="26"/>
    <col width="29.08984375" customWidth="1" style="173" min="27" max="27"/>
    <col width="23" customWidth="1" style="173" min="28" max="28"/>
    <col width="16" customWidth="1" style="173" min="29" max="29"/>
    <col width="16" customWidth="1" style="173" min="30" max="30"/>
    <col width="17" customWidth="1" style="173" min="31" max="31"/>
    <col width="16" customWidth="1" style="173" min="32" max="32"/>
    <col width="29" customWidth="1" style="173" min="33" max="33"/>
    <col width="36" customWidth="1" style="173" min="34" max="34"/>
    <col width="24" customWidth="1" style="173" min="35" max="35"/>
    <col width="22" customWidth="1" style="173" min="36" max="36"/>
    <col width="35" customWidth="1" style="173" min="37" max="37"/>
    <col width="38" customWidth="1" style="173" min="38" max="38"/>
    <col width="25" customWidth="1" style="173" min="39" max="39"/>
    <col width="22" customWidth="1" style="173" min="40" max="40"/>
    <col width="32" customWidth="1" style="173" min="41" max="41"/>
    <col width="31" customWidth="1" style="173" min="42" max="42"/>
    <col width="28" customWidth="1" style="173" min="43" max="43"/>
    <col width="20" customWidth="1" style="173" min="44" max="44"/>
    <col width="38" customWidth="1" style="173" min="45" max="45"/>
    <col width="35" customWidth="1" style="173" min="46" max="46"/>
    <col width="34" customWidth="1" style="173" min="47" max="47"/>
    <col width="37" customWidth="1" style="173" min="48" max="48"/>
    <col width="32" customWidth="1" style="173" min="49" max="49"/>
    <col width="30" customWidth="1" style="173" min="50" max="50"/>
    <col width="38" customWidth="1" style="173" min="51" max="51"/>
    <col width="37" customWidth="1" style="173" min="52" max="52"/>
    <col width="38" customWidth="1" style="173" min="53" max="53"/>
    <col width="22" customWidth="1" style="173" min="54" max="54"/>
    <col width="20" customWidth="1" style="173" min="55" max="55"/>
    <col width="23" customWidth="1" style="173" min="56" max="56"/>
    <col width="29" customWidth="1" style="173" min="57" max="57"/>
    <col width="18" customWidth="1" style="173" min="58" max="58"/>
    <col width="16" customWidth="1" style="173" min="59" max="59"/>
  </cols>
  <sheetData>
    <row r="1" ht="24" customHeight="1" s="173">
      <c r="A1" s="136" t="inlineStr">
        <is>
          <t>Date d'analyse</t>
        </is>
      </c>
      <c r="B1" s="136" t="inlineStr">
        <is>
          <t>ID_Exposition</t>
        </is>
      </c>
      <c r="C1" s="137" t="inlineStr">
        <is>
          <t>Date d'octroi</t>
        </is>
      </c>
      <c r="D1" s="137" t="inlineStr">
        <is>
          <t>Date d'échéance</t>
        </is>
      </c>
      <c r="E1" s="137" t="inlineStr">
        <is>
          <t>Maturité de l'exposition</t>
        </is>
      </c>
      <c r="F1" s="137" t="inlineStr">
        <is>
          <t>Maturité résiduelle</t>
        </is>
      </c>
      <c r="G1" s="137" t="inlineStr">
        <is>
          <t>Contrepartie</t>
        </is>
      </c>
      <c r="H1" s="138" t="inlineStr">
        <is>
          <t>Notation_externe_contrepartie</t>
        </is>
      </c>
      <c r="I1" s="137" t="inlineStr">
        <is>
          <t>Pays_contrepartie</t>
        </is>
      </c>
      <c r="J1" s="137" t="inlineStr">
        <is>
          <t>Notation_externe_pays</t>
        </is>
      </c>
      <c r="K1" s="137" t="inlineStr">
        <is>
          <t>Pondération_pays</t>
        </is>
      </c>
      <c r="L1" s="138" t="inlineStr">
        <is>
          <t>Catégorie d'exposition</t>
        </is>
      </c>
      <c r="M1" s="138" t="inlineStr">
        <is>
          <t>Pondération (RW)</t>
        </is>
      </c>
      <c r="N1" s="139" t="inlineStr">
        <is>
          <t>PRÊT TOTAL</t>
        </is>
      </c>
      <c r="O1" s="139" t="inlineStr">
        <is>
          <t>Montant_exposition_but_au_bilan</t>
        </is>
      </c>
      <c r="P1" s="139" t="inlineStr">
        <is>
          <t>Montant d'exposition au HB</t>
        </is>
      </c>
      <c r="Q1" s="139" t="inlineStr">
        <is>
          <t>Devise</t>
        </is>
      </c>
      <c r="R1" s="139" t="inlineStr">
        <is>
          <t>CRM_existe</t>
        </is>
      </c>
      <c r="S1" s="139" t="inlineStr">
        <is>
          <t>Type_CRM</t>
        </is>
      </c>
      <c r="T1" s="139" t="inlineStr">
        <is>
          <t>EAD_bilan</t>
        </is>
      </c>
      <c r="U1" s="139" t="inlineStr">
        <is>
          <t>EAD_HB</t>
        </is>
      </c>
      <c r="V1" s="139" t="inlineStr">
        <is>
          <t>EAD_HB_ccf</t>
        </is>
      </c>
      <c r="W1" s="139" t="inlineStr">
        <is>
          <t>EAD_Total</t>
        </is>
      </c>
      <c r="X1" s="139" t="inlineStr">
        <is>
          <t>RWA_EB</t>
        </is>
      </c>
      <c r="Y1" s="139" t="inlineStr">
        <is>
          <t>RWA_HB</t>
        </is>
      </c>
      <c r="Z1" s="139" t="inlineStr">
        <is>
          <t>RWA_crédit</t>
        </is>
      </c>
      <c r="AA1" s="139" t="inlineStr">
        <is>
          <t>Capital_min_reg</t>
        </is>
      </c>
      <c r="AB1" s="174" t="inlineStr">
        <is>
          <t>Niveau de risque HB</t>
        </is>
      </c>
      <c r="AC1" s="174" t="inlineStr">
        <is>
          <t>Statut</t>
        </is>
      </c>
      <c r="AD1" s="174" t="inlineStr">
        <is>
          <t>Provisions</t>
        </is>
      </c>
      <c r="AE1" s="174" t="inlineStr">
        <is>
          <t>Jours_impayes</t>
        </is>
      </c>
      <c r="AF1" s="174" t="inlineStr">
        <is>
          <t>Commentaire</t>
        </is>
      </c>
      <c r="AG1" s="174" t="inlineStr">
        <is>
          <t>Cas_particulier_souverain</t>
        </is>
      </c>
      <c r="AH1" s="174" t="inlineStr">
        <is>
          <t>Souverain_ponderation_pref_nulle</t>
        </is>
      </c>
      <c r="AI1" s="174" t="inlineStr">
        <is>
          <t>Souverain_OCE_etabli</t>
        </is>
      </c>
      <c r="AJ1" s="174" t="inlineStr">
        <is>
          <t>Souverain_note_OCE</t>
        </is>
      </c>
      <c r="AK1" s="174" t="inlineStr">
        <is>
          <t>Organisme_public_cas_UEMOA_FCFA</t>
        </is>
      </c>
      <c r="AL1" s="174" t="inlineStr">
        <is>
          <t>Organisme_public_activite_non_publique</t>
        </is>
      </c>
      <c r="AM1" s="174" t="inlineStr">
        <is>
          <t>BMD_cas_haute_qualite</t>
        </is>
      </c>
      <c r="AN1" s="174" t="inlineStr">
        <is>
          <t>BMD_cas_UEMOA_FCFA</t>
        </is>
      </c>
      <c r="AO1" s="174" t="inlineStr">
        <is>
          <t>BMD_criteres_UEMOA_respectes</t>
        </is>
      </c>
      <c r="AP1" s="174" t="inlineStr">
        <is>
          <t>BMD_institution_listee_FCFA</t>
        </is>
      </c>
      <c r="AQ1" s="174" t="inlineStr">
        <is>
          <t>Cas_institution_bancaire</t>
        </is>
      </c>
      <c r="AR1" s="174" t="inlineStr">
        <is>
          <t>Type_autre_actif</t>
        </is>
      </c>
      <c r="AS1" s="174" t="inlineStr">
        <is>
          <t>Clientele_detail_criteres_respectes</t>
        </is>
      </c>
      <c r="AT1" s="174" t="inlineStr">
        <is>
          <t>Immobilier_residentiel_eligible</t>
        </is>
      </c>
      <c r="AU1" s="174" t="inlineStr">
        <is>
          <t>Immobilier_commercial_eligible</t>
        </is>
      </c>
      <c r="AV1" s="174" t="inlineStr">
        <is>
          <t>Ponderation_initiale_avant_defaut</t>
        </is>
      </c>
      <c r="AW1" s="174" t="inlineStr">
        <is>
          <t>Defaut_pret_immo_residentiel</t>
        </is>
      </c>
      <c r="AX1" s="174" t="inlineStr">
        <is>
          <t>Defaut_provision_min_20pct</t>
        </is>
      </c>
      <c r="AY1" s="174" t="inlineStr">
        <is>
          <t>Entreprise_depasse_seuil_degradation_BCEAO</t>
        </is>
      </c>
      <c r="AZ1" s="174" t="inlineStr">
        <is>
          <t>Entreprise_procedure_prudentielle</t>
        </is>
      </c>
      <c r="BA1" s="174" t="inlineStr">
        <is>
          <t>Entreprise_investissement_hors_loi_bancaire</t>
        </is>
      </c>
      <c r="BB1" s="174" t="inlineStr">
        <is>
          <t>N_Centrale_risques</t>
        </is>
      </c>
      <c r="BC1" s="174" t="inlineStr">
        <is>
          <t>Secteur_activite</t>
        </is>
      </c>
      <c r="BD1" s="174" t="inlineStr">
        <is>
          <t>Groupe_clients_lies</t>
        </is>
      </c>
      <c r="BE1" s="174" t="inlineStr">
        <is>
          <t>N_Centrale_risques_groupe</t>
        </is>
      </c>
      <c r="BF1" s="174" t="inlineStr">
        <is>
          <t>Categorie_lien</t>
        </is>
      </c>
      <c r="BG1" s="174" t="inlineStr">
        <is>
          <t>Partie_liee</t>
        </is>
      </c>
    </row>
    <row r="2" ht="24" customHeight="1" s="173">
      <c r="A2" s="7">
        <f>TODAY()</f>
        <v/>
      </c>
      <c r="B2" s="5" t="inlineStr">
        <is>
          <t>CP001</t>
        </is>
      </c>
      <c r="C2" s="7" t="n">
        <v>45667</v>
      </c>
      <c r="D2" s="7" t="n">
        <v>47571</v>
      </c>
      <c r="E2" s="6">
        <f>IFERROR(DATEDIF(C2,D2,"m"), "")</f>
        <v/>
      </c>
      <c r="F2" s="6">
        <f>IFERROR(DATEDIF(A2,D2,"m"), "")</f>
        <v/>
      </c>
      <c r="G2" s="6" t="inlineStr">
        <is>
          <t>AD FINANCE</t>
        </is>
      </c>
      <c r="H2" s="7" t="inlineStr">
        <is>
          <t>AAA</t>
        </is>
      </c>
      <c r="I2" s="7" t="inlineStr">
        <is>
          <t>Côte d'Ivoire</t>
        </is>
      </c>
      <c r="J2" s="7" t="inlineStr">
        <is>
          <t>AA+</t>
        </is>
      </c>
      <c r="K2" s="27">
        <f>_xlfn.IFS(
J2="AAA",'(a) souverains'!$B$7,
J2="AA+",'(a) souverains'!$B$8,
J2="AA",'(a) souverains'!$B$9,
J2="AA-",'(a) souverains'!$B$10,
J2="A+",'(a) souverains'!$B$11,
J2="A",'(a) souverains'!$B$12,
J2="A-",'(a) souverains'!$B$13,
J2="BBB+",'(a) souverains'!$B$14,
J2="BBB",'(a) souverains'!$B$15,
J2="BBB-",'(a) souverains'!$B$16,
J2="BB+",'(a) souverains'!$B$17,
J2="BB",'(a) souverains'!$B$18,
J2="BB-",'(a) souverains'!$B$19,
J2="B+",'(a) souverains'!$B$20,
J2="B",'(a) souverains'!$B$21,
J2="B-",'(a) souverains'!$B$22,
J2="&lt; B-",'(a) souverains'!$B$23,
J2="Non noté",'(a) souverains'!$B$24,
TRUE,"Erreur de correspondance"
)</f>
        <v/>
      </c>
      <c r="L2" s="7" t="inlineStr">
        <is>
          <t>(g) prêts garantis par l'immo R</t>
        </is>
      </c>
      <c r="M2" s="140">
        <f>IF(L2="","",IF(OR(H2="",H2="Non noté"),MAX(K2,100%),IF(LEFT(L2,3)="(a)",IF(OR(H2="AAA",H2="AA+",H2="AA",H2="AA-"),0%,IF(OR(H2="A+",H2="A",H2="A-"),20%,IF(OR(H2="BBB+",H2="BBB",H2="BBB-"),50%,IF(OR(H2="BB+",H2="BB",H2="BB-",H2="B+",H2="B",H2="B-"),100%,IF(H2="&lt; B-",150%,""))))),IF(LEFT(L2,3)="(b)",IF(OR(H2="AAA",H2="AA+",H2="AA",H2="AA-"),20%,IF(OR(H2="A+",H2="A",H2="A-"),50%,IF(OR(H2="BBB+",H2="BBB",H2="BBB-",H2="BB+",H2="BB",H2="BB-"),100%,150%))),IF(LEFT(L2,3)="(c)",0%,IF(LEFT(L2,3)="(d)",IF(OR(H2="AAA",H2="AA+",H2="AA",H2="AA-"),20%,IF(OR(H2="A+",H2="A",H2="A-",H2="BBB+",H2="BBB",H2="BBB-"),50%,IF(OR(H2="BB+",H2="BB",H2="BB-"),100%,150%))),IF(LEFT(L2,3)="(e)",IF(OR(H2="AAA",H2="AA+",H2="AA",H2="AA-",H2="A+",H2="A",H2="A-"),20%,IF(OR(H2="BBB+",H2="BBB",H2="BBB-"),50%,IF(OR(H2="BB+",H2="BB",H2="BB-",H2="B+",H2="B",H2="B-"),100%,IF(H2="&lt; B-",150%,"")))),IF(LEFT(L2,3)="(f)",75%,IF(LEFT(L2,3)="(g)",35%,IF(LEFT(L2,3)="(h)",100%,IF(LEFT(L2,3)="(i)",150%,IF(LEFT(L2,3)="(j)",150%,IF(LEFT(L2,3)="(k)",100%,"")))))))))))))</f>
        <v/>
      </c>
      <c r="N2" s="8" t="n">
        <v>100000000</v>
      </c>
      <c r="O2" s="8" t="n">
        <v>60000000</v>
      </c>
      <c r="P2" s="8">
        <f>MAX(0,N2-O2)</f>
        <v/>
      </c>
      <c r="Q2" s="8" t="inlineStr">
        <is>
          <t>EUR</t>
        </is>
      </c>
      <c r="R2" s="171" t="inlineStr">
        <is>
          <t>OUI</t>
        </is>
      </c>
      <c r="S2" s="171" t="inlineStr">
        <is>
          <t>non_financee</t>
        </is>
      </c>
      <c r="T2" s="10">
        <f>IF(R2="NON",IFERROR(O2,0),IF(S2="financee",MAX(0,IFERROR(CRM_financée!J2,0)-IFERROR(CRM_financée!L2,0)),IF(S2="non_financee",IFERROR("ND",0))))</f>
        <v/>
      </c>
      <c r="U2" s="171">
        <f>IF(R2="NON",IFERROR(P2,0),IF(S2="financee",MAX(0,IFERROR(CRM_financée!K2,0)-IFERROR(CRM_financée!L2,0)),IF(S2="non_financee",IFERROR(CRM_non_financee!K2,0))))</f>
        <v/>
      </c>
      <c r="V2" s="10">
        <f>IF(T2="ND","ND",IFERROR(Traitement_HB!D2,0))</f>
        <v/>
      </c>
      <c r="W2" s="11">
        <f>IF(T2="ND","ND",IFERROR(T2+V2,0))</f>
        <v/>
      </c>
      <c r="X2" s="171">
        <f>IF(T2="ND",CRM_non_financee!O2,IFERROR(T2*M2,0))</f>
        <v/>
      </c>
      <c r="Y2" s="171">
        <f>IF(T2="ND",(CRM_non_financee!M2*CRM_non_financee!F2+CRM_non_financee!N2*'Template données'!M2),IFERROR(V2*M2,0))</f>
        <v/>
      </c>
      <c r="Z2" s="12">
        <f>IFERROR(X2+Y2,0)</f>
        <v/>
      </c>
      <c r="AA2" s="141">
        <f>IFERROR(Z2,0)*8%</f>
        <v/>
      </c>
    </row>
    <row r="3" ht="24" customHeight="1" s="173">
      <c r="A3" s="7">
        <f>TODAY()</f>
        <v/>
      </c>
      <c r="B3" s="5" t="inlineStr">
        <is>
          <t>CP002</t>
        </is>
      </c>
      <c r="C3" s="7" t="n">
        <v>46020</v>
      </c>
      <c r="D3" s="7" t="n">
        <v>46201</v>
      </c>
      <c r="E3" s="6">
        <f>IFERROR(DATEDIF(C3,D3,"m"), "")</f>
        <v/>
      </c>
      <c r="F3" s="6">
        <f>IFERROR(DATEDIF(A3,D3,"m"), "")</f>
        <v/>
      </c>
      <c r="G3" s="6" t="inlineStr">
        <is>
          <t xml:space="preserve">AK COSMETIC </t>
        </is>
      </c>
      <c r="H3" s="7" t="inlineStr">
        <is>
          <t>B-</t>
        </is>
      </c>
      <c r="I3" s="7" t="inlineStr">
        <is>
          <t>Gabon</t>
        </is>
      </c>
      <c r="J3" s="7" t="inlineStr">
        <is>
          <t>B+</t>
        </is>
      </c>
      <c r="K3" s="27">
        <f>_xlfn.IFS(
J3="AAA",'(a) souverains'!$B$7,
J3="AA+",'(a) souverains'!$B$8,
J3="AA",'(a) souverains'!$B$9,
J3="AA-",'(a) souverains'!$B$10,
J3="A+",'(a) souverains'!$B$11,
J3="A",'(a) souverains'!$B$12,
J3="A-",'(a) souverains'!$B$13,
J3="BBB+",'(a) souverains'!$B$14,
J3="BBB",'(a) souverains'!$B$15,
J3="BBB-",'(a) souverains'!$B$16,
J3="BB+",'(a) souverains'!$B$17,
J3="BB",'(a) souverains'!$B$18,
J3="BB-",'(a) souverains'!$B$19,
J3="B+",'(a) souverains'!$B$20,
J3="B",'(a) souverains'!$B$21,
J3="B-",'(a) souverains'!$B$22,
J3="&lt; B-",'(a) souverains'!$B$23,
J3="Non noté",'(a) souverains'!$B$24,
TRUE,"Erreur de correspondance"
)</f>
        <v/>
      </c>
      <c r="L3" s="7" t="inlineStr">
        <is>
          <t>(g) prêts garantis par l'immo R</t>
        </is>
      </c>
      <c r="M3" s="140">
        <f>IF(L3="","",IF(OR(H3="",H3="Non noté"),MAX(K3,100%),IF(LEFT(L3,3)="(a)",IF(OR(H3="AAA",H3="AA+",H3="AA",H3="AA-"),0%,IF(OR(H3="A+",H3="A",H3="A-"),20%,IF(OR(H3="BBB+",H3="BBB",H3="BBB-"),50%,IF(OR(H3="BB+",H3="BB",H3="BB-",H3="B+",H3="B",H3="B-"),100%,IF(H3="&lt; B-",150%,""))))),IF(LEFT(L3,3)="(b)",IF(OR(H3="AAA",H3="AA+",H3="AA",H3="AA-"),20%,IF(OR(H3="A+",H3="A",H3="A-"),50%,IF(OR(H3="BBB+",H3="BBB",H3="BBB-",H3="BB+",H3="BB",H3="BB-"),100%,150%))),IF(LEFT(L3,3)="(c)",0%,IF(LEFT(L3,3)="(d)",IF(OR(H3="AAA",H3="AA+",H3="AA",H3="AA-"),20%,IF(OR(H3="A+",H3="A",H3="A-",H3="BBB+",H3="BBB",H3="BBB-"),50%,IF(OR(H3="BB+",H3="BB",H3="BB-"),100%,150%))),IF(LEFT(L3,3)="(e)",IF(OR(H3="AAA",H3="AA+",H3="AA",H3="AA-",H3="A+",H3="A",H3="A-"),20%,IF(OR(H3="BBB+",H3="BBB",H3="BBB-"),50%,IF(OR(H3="BB+",H3="BB",H3="BB-",H3="B+",H3="B",H3="B-"),100%,IF(H3="&lt; B-",150%,"")))),IF(LEFT(L3,3)="(f)",75%,IF(LEFT(L3,3)="(g)",35%,IF(LEFT(L3,3)="(h)",100%,IF(LEFT(L3,3)="(i)",150%,IF(LEFT(L3,3)="(j)",150%,IF(LEFT(L3,3)="(k)",100%,"")))))))))))))</f>
        <v/>
      </c>
      <c r="N3" s="8" t="n">
        <v>700000000</v>
      </c>
      <c r="O3" s="8" t="n">
        <v>6000000</v>
      </c>
      <c r="P3" s="8">
        <f>MAX(0,N3-O3)</f>
        <v/>
      </c>
      <c r="Q3" s="8" t="inlineStr">
        <is>
          <t>USD</t>
        </is>
      </c>
      <c r="R3" s="171" t="inlineStr">
        <is>
          <t>OUI</t>
        </is>
      </c>
      <c r="S3" s="171" t="inlineStr">
        <is>
          <t>non_financee</t>
        </is>
      </c>
      <c r="T3" s="10">
        <f>IF(R3="NON",IFERROR(O3,0),IF(S3="financee",MAX(0,IFERROR(CRM_financée!J3,0)-IFERROR(CRM_financée!L3,0)),IF(S3="non_financee",IFERROR("ND",0))))</f>
        <v/>
      </c>
      <c r="U3" s="171">
        <f>IF(R3="NON",IFERROR(P3,0),IF(S3="financee",MAX(0,IFERROR(CRM_financée!K3,0)-IFERROR(CRM_financée!L3,0)),IF(S3="non_financee",IFERROR(CRM_non_financee!K3,0))))</f>
        <v/>
      </c>
      <c r="V3" s="10">
        <f>IF(T3="ND","ND",IFERROR(Traitement_HB!D3,0))</f>
        <v/>
      </c>
      <c r="W3" s="11">
        <f>IF(T3="ND","ND",IFERROR(T3+V3,0))</f>
        <v/>
      </c>
      <c r="X3" s="171">
        <f>IF(T3="ND",CRM_non_financee!O3,IFERROR(T3*M3,0))</f>
        <v/>
      </c>
      <c r="Y3" s="171">
        <f>IF(T3="ND",(CRM_non_financee!M3*CRM_non_financee!F3+CRM_non_financee!N3*'Template données'!M3),IFERROR(V3*M3,0))</f>
        <v/>
      </c>
      <c r="Z3" s="12">
        <f>IFERROR(X3+Y3,0)</f>
        <v/>
      </c>
      <c r="AA3" s="141">
        <f>IFERROR(Z3,0)*8%</f>
        <v/>
      </c>
    </row>
    <row r="4" ht="24" customHeight="1" s="173">
      <c r="A4" s="7">
        <f>TODAY()</f>
        <v/>
      </c>
      <c r="B4" s="5" t="inlineStr">
        <is>
          <t>CP003</t>
        </is>
      </c>
      <c r="C4" s="7" t="n">
        <v>45742</v>
      </c>
      <c r="D4" s="7" t="n">
        <v>47571</v>
      </c>
      <c r="E4" s="6">
        <f>IFERROR(DATEDIF(C4,D4,"m"), "")</f>
        <v/>
      </c>
      <c r="F4" s="6">
        <f>IFERROR(DATEDIF(A4,D4,"m"), "")</f>
        <v/>
      </c>
      <c r="G4" s="6" t="inlineStr">
        <is>
          <t>Alpha Finance SARL</t>
        </is>
      </c>
      <c r="H4" s="7" t="inlineStr">
        <is>
          <t>BB+</t>
        </is>
      </c>
      <c r="I4" s="7" t="inlineStr">
        <is>
          <t>Côte d’Ivoire</t>
        </is>
      </c>
      <c r="J4" s="7" t="inlineStr">
        <is>
          <t>BBB+</t>
        </is>
      </c>
      <c r="K4" s="27">
        <f>_xlfn.IFS(
J4="AAA",'(a) souverains'!$B$7,
J4="AA+",'(a) souverains'!$B$8,
J4="AA",'(a) souverains'!$B$9,
J4="AA-",'(a) souverains'!$B$10,
J4="A+",'(a) souverains'!$B$11,
J4="A",'(a) souverains'!$B$12,
J4="A-",'(a) souverains'!$B$13,
J4="BBB+",'(a) souverains'!$B$14,
J4="BBB",'(a) souverains'!$B$15,
J4="BBB-",'(a) souverains'!$B$16,
J4="BB+",'(a) souverains'!$B$17,
J4="BB",'(a) souverains'!$B$18,
J4="BB-",'(a) souverains'!$B$19,
J4="B+",'(a) souverains'!$B$20,
J4="B",'(a) souverains'!$B$21,
J4="B-",'(a) souverains'!$B$22,
J4="&lt; B-",'(a) souverains'!$B$23,
J4="Non noté",'(a) souverains'!$B$24,
TRUE,"Erreur de correspondance"
)</f>
        <v/>
      </c>
      <c r="L4" s="7" t="inlineStr">
        <is>
          <t xml:space="preserve">(a) souverains </t>
        </is>
      </c>
      <c r="M4" s="140">
        <f>IF(L4="","",IF(OR(H4="",H4="Non noté"),MAX(K4,100%),IF(LEFT(L4,3)="(a)",IF(OR(H4="AAA",H4="AA+",H4="AA",H4="AA-"),0%,IF(OR(H4="A+",H4="A",H4="A-"),20%,IF(OR(H4="BBB+",H4="BBB",H4="BBB-"),50%,IF(OR(H4="BB+",H4="BB",H4="BB-",H4="B+",H4="B",H4="B-"),100%,IF(H4="&lt; B-",150%,""))))),IF(LEFT(L4,3)="(b)",IF(OR(H4="AAA",H4="AA+",H4="AA",H4="AA-"),20%,IF(OR(H4="A+",H4="A",H4="A-"),50%,IF(OR(H4="BBB+",H4="BBB",H4="BBB-",H4="BB+",H4="BB",H4="BB-"),100%,150%))),IF(LEFT(L4,3)="(c)",0%,IF(LEFT(L4,3)="(d)",IF(OR(H4="AAA",H4="AA+",H4="AA",H4="AA-"),20%,IF(OR(H4="A+",H4="A",H4="A-",H4="BBB+",H4="BBB",H4="BBB-"),50%,IF(OR(H4="BB+",H4="BB",H4="BB-"),100%,150%))),IF(LEFT(L4,3)="(e)",IF(OR(H4="AAA",H4="AA+",H4="AA",H4="AA-",H4="A+",H4="A",H4="A-"),20%,IF(OR(H4="BBB+",H4="BBB",H4="BBB-"),50%,IF(OR(H4="BB+",H4="BB",H4="BB-",H4="B+",H4="B",H4="B-"),100%,IF(H4="&lt; B-",150%,"")))),IF(LEFT(L4,3)="(f)",75%,IF(LEFT(L4,3)="(g)",35%,IF(LEFT(L4,3)="(h)",100%,IF(LEFT(L4,3)="(i)",150%,IF(LEFT(L4,3)="(j)",150%,IF(LEFT(L4,3)="(k)",100%,"")))))))))))))</f>
        <v/>
      </c>
      <c r="N4" s="8" t="n">
        <v>1100000000</v>
      </c>
      <c r="O4" s="8" t="n">
        <v>45050000</v>
      </c>
      <c r="P4" s="8">
        <f>MAX(0,N4-O4)</f>
        <v/>
      </c>
      <c r="Q4" s="8" t="inlineStr">
        <is>
          <t>EUR</t>
        </is>
      </c>
      <c r="R4" s="171" t="inlineStr">
        <is>
          <t>OUI</t>
        </is>
      </c>
      <c r="S4" s="171" t="inlineStr">
        <is>
          <t>financee</t>
        </is>
      </c>
      <c r="T4" s="10">
        <f>IF(R4="NON",IFERROR(O4,0),IF(S4="financee",MAX(0,IFERROR(CRM_financée!J4,0)-IFERROR(CRM_financée!L4,0)),IF(S4="non_financee",IFERROR("ND",0))))</f>
        <v/>
      </c>
      <c r="U4" s="171">
        <f>IF(R4="NON",IFERROR(P4,0),IF(S4="financee",MAX(0,IFERROR(CRM_financée!K4,0)-IFERROR(CRM_financée!L4,0)),IF(S4="non_financee",IFERROR(CRM_non_financee!K4,0))))</f>
        <v/>
      </c>
      <c r="V4" s="10">
        <f>IF(T4="ND","ND",IFERROR(Traitement_HB!D4,0))</f>
        <v/>
      </c>
      <c r="W4" s="11">
        <f>IF(T4="ND","ND",IFERROR(T4+V4,0))</f>
        <v/>
      </c>
      <c r="X4" s="171">
        <f>IF(T4="ND",CRM_non_financee!O4,IFERROR(T4*M4,0))</f>
        <v/>
      </c>
      <c r="Y4" s="171">
        <f>IF(T4="ND",(CRM_non_financee!M4*CRM_non_financee!F4+CRM_non_financee!N4*'Template données'!M4),IFERROR(V4*M4,0))</f>
        <v/>
      </c>
      <c r="Z4" s="12">
        <f>IFERROR(X4+Y4,0)</f>
        <v/>
      </c>
      <c r="AA4" s="141">
        <f>IFERROR(Z4,0)*8%</f>
        <v/>
      </c>
    </row>
    <row r="5" ht="24" customHeight="1" s="173">
      <c r="A5" s="7">
        <f>TODAY()</f>
        <v/>
      </c>
      <c r="B5" s="5" t="inlineStr">
        <is>
          <t>CP004</t>
        </is>
      </c>
      <c r="C5" s="7" t="n">
        <v>45667</v>
      </c>
      <c r="D5" s="7" t="n">
        <v>54897</v>
      </c>
      <c r="E5" s="6">
        <f>IFERROR(DATEDIF(C5,D5,"m"), "")</f>
        <v/>
      </c>
      <c r="F5" s="6">
        <f>IFERROR(DATEDIF(A5,D5,"m"), "")</f>
        <v/>
      </c>
      <c r="G5" s="6" t="inlineStr">
        <is>
          <t>Beta Inc.</t>
        </is>
      </c>
      <c r="H5" s="7" t="inlineStr">
        <is>
          <t>&lt; B-</t>
        </is>
      </c>
      <c r="I5" s="7" t="inlineStr">
        <is>
          <t>Mali</t>
        </is>
      </c>
      <c r="J5" s="7" t="inlineStr">
        <is>
          <t>AA+</t>
        </is>
      </c>
      <c r="K5" s="27">
        <f>_xlfn.IFS(
J5="AAA",'(a) souverains'!$B$7,
J5="AA+",'(a) souverains'!$B$8,
J5="AA",'(a) souverains'!$B$9,
J5="AA-",'(a) souverains'!$B$10,
J5="A+",'(a) souverains'!$B$11,
J5="A",'(a) souverains'!$B$12,
J5="A-",'(a) souverains'!$B$13,
J5="BBB+",'(a) souverains'!$B$14,
J5="BBB",'(a) souverains'!$B$15,
J5="BBB-",'(a) souverains'!$B$16,
J5="BB+",'(a) souverains'!$B$17,
J5="BB",'(a) souverains'!$B$18,
J5="BB-",'(a) souverains'!$B$19,
J5="B+",'(a) souverains'!$B$20,
J5="B",'(a) souverains'!$B$21,
J5="B-",'(a) souverains'!$B$22,
J5="&lt; B-",'(a) souverains'!$B$23,
J5="Non noté",'(a) souverains'!$B$24,
TRUE,"Erreur de correspondance"
)</f>
        <v/>
      </c>
      <c r="L5" s="7" t="inlineStr">
        <is>
          <t>(g) prêts garantis par l'immo R</t>
        </is>
      </c>
      <c r="M5" s="140">
        <f>IF(L5="","",IF(OR(H5="",H5="Non noté"),MAX(K5,100%),IF(LEFT(L5,3)="(a)",IF(OR(H5="AAA",H5="AA+",H5="AA",H5="AA-"),0%,IF(OR(H5="A+",H5="A",H5="A-"),20%,IF(OR(H5="BBB+",H5="BBB",H5="BBB-"),50%,IF(OR(H5="BB+",H5="BB",H5="BB-",H5="B+",H5="B",H5="B-"),100%,IF(H5="&lt; B-",150%,""))))),IF(LEFT(L5,3)="(b)",IF(OR(H5="AAA",H5="AA+",H5="AA",H5="AA-"),20%,IF(OR(H5="A+",H5="A",H5="A-"),50%,IF(OR(H5="BBB+",H5="BBB",H5="BBB-",H5="BB+",H5="BB",H5="BB-"),100%,150%))),IF(LEFT(L5,3)="(c)",0%,IF(LEFT(L5,3)="(d)",IF(OR(H5="AAA",H5="AA+",H5="AA",H5="AA-"),20%,IF(OR(H5="A+",H5="A",H5="A-",H5="BBB+",H5="BBB",H5="BBB-"),50%,IF(OR(H5="BB+",H5="BB",H5="BB-"),100%,150%))),IF(LEFT(L5,3)="(e)",IF(OR(H5="AAA",H5="AA+",H5="AA",H5="AA-",H5="A+",H5="A",H5="A-"),20%,IF(OR(H5="BBB+",H5="BBB",H5="BBB-"),50%,IF(OR(H5="BB+",H5="BB",H5="BB-",H5="B+",H5="B",H5="B-"),100%,IF(H5="&lt; B-",150%,"")))),IF(LEFT(L5,3)="(f)",75%,IF(LEFT(L5,3)="(g)",35%,IF(LEFT(L5,3)="(h)",100%,IF(LEFT(L5,3)="(i)",150%,IF(LEFT(L5,3)="(j)",150%,IF(LEFT(L5,3)="(k)",100%,"")))))))))))))</f>
        <v/>
      </c>
      <c r="N5" s="8" t="n">
        <v>5400000000</v>
      </c>
      <c r="O5" s="8" t="n">
        <v>905050000</v>
      </c>
      <c r="P5" s="8">
        <f>MAX(0,N5-O5)</f>
        <v/>
      </c>
      <c r="Q5" s="8" t="inlineStr">
        <is>
          <t>XOF</t>
        </is>
      </c>
      <c r="R5" s="171" t="inlineStr">
        <is>
          <t>NON</t>
        </is>
      </c>
      <c r="S5" s="171" t="inlineStr">
        <is>
          <t>Non éligible</t>
        </is>
      </c>
      <c r="T5" s="10">
        <f>IF(R5="NON",IFERROR(O5,0),IF(S5="financee",MAX(0,IFERROR(CRM_financée!J5,0)-IFERROR(CRM_financée!L5,0)),IF(S5="non_financee",IFERROR("ND",0))))</f>
        <v/>
      </c>
      <c r="U5" s="171">
        <f>IF(R5="NON",IFERROR(P5,0),IF(S5="financee",MAX(0,IFERROR(CRM_financée!K5,0)-IFERROR(CRM_financée!L5,0)),IF(S5="non_financee",IFERROR(CRM_non_financee!K5,0))))</f>
        <v/>
      </c>
      <c r="V5" s="10">
        <f>IF(T5="ND","ND",IFERROR(Traitement_HB!D5,0))</f>
        <v/>
      </c>
      <c r="W5" s="11">
        <f>IF(T5="ND","ND",IFERROR(T5+V5,0))</f>
        <v/>
      </c>
      <c r="X5" s="171">
        <f>IF(T5="ND",CRM_non_financee!O5,IFERROR(T5*M5,0))</f>
        <v/>
      </c>
      <c r="Y5" s="171">
        <f>IF(T5="ND",(CRM_non_financee!M5*CRM_non_financee!F5+CRM_non_financee!N5*'Template données'!M5),IFERROR(V5*M5,0))</f>
        <v/>
      </c>
      <c r="Z5" s="12">
        <f>IFERROR(X5+Y5,0)</f>
        <v/>
      </c>
      <c r="AA5" s="141">
        <f>IFERROR(Z5,0)*8%</f>
        <v/>
      </c>
    </row>
    <row r="6" ht="24" customHeight="1" s="173">
      <c r="A6" s="7">
        <f>TODAY()</f>
        <v/>
      </c>
      <c r="B6" s="5" t="inlineStr">
        <is>
          <t>CP005</t>
        </is>
      </c>
      <c r="C6" s="7" t="n">
        <v>45667</v>
      </c>
      <c r="D6" s="7" t="n">
        <v>47025</v>
      </c>
      <c r="E6" s="6">
        <f>IFERROR(DATEDIF(C6,D6,"m"), "")</f>
        <v/>
      </c>
      <c r="F6" s="6">
        <f>IFERROR(DATEDIF(A6,D6,"m"), "")</f>
        <v/>
      </c>
      <c r="G6" s="6" t="inlineStr">
        <is>
          <t>Mouryxia Group</t>
        </is>
      </c>
      <c r="H6" s="7" t="inlineStr">
        <is>
          <t>AA+</t>
        </is>
      </c>
      <c r="I6" s="7" t="inlineStr">
        <is>
          <t>Niger</t>
        </is>
      </c>
      <c r="J6" s="7" t="inlineStr">
        <is>
          <t>BB+</t>
        </is>
      </c>
      <c r="K6" s="27">
        <f>_xlfn.IFS(
J6="AAA",'(a) souverains'!$B$7,
J6="AA+",'(a) souverains'!$B$8,
J6="AA",'(a) souverains'!$B$9,
J6="AA-",'(a) souverains'!$B$10,
J6="A+",'(a) souverains'!$B$11,
J6="A",'(a) souverains'!$B$12,
J6="A-",'(a) souverains'!$B$13,
J6="BBB+",'(a) souverains'!$B$14,
J6="BBB",'(a) souverains'!$B$15,
J6="BBB-",'(a) souverains'!$B$16,
J6="BB+",'(a) souverains'!$B$17,
J6="BB",'(a) souverains'!$B$18,
J6="BB-",'(a) souverains'!$B$19,
J6="B+",'(a) souverains'!$B$20,
J6="B",'(a) souverains'!$B$21,
J6="B-",'(a) souverains'!$B$22,
J6="&lt; B-",'(a) souverains'!$B$23,
J6="Non noté",'(a) souverains'!$B$24,
TRUE,"Erreur de correspondance"
)</f>
        <v/>
      </c>
      <c r="L6" s="7" t="inlineStr">
        <is>
          <t>(g) prêts garantis par l'immo R</t>
        </is>
      </c>
      <c r="M6" s="140">
        <f>IF(L6="","",IF(OR(H6="",H6="Non noté"),MAX(K6,100%),IF(LEFT(L6,3)="(a)",IF(OR(H6="AAA",H6="AA+",H6="AA",H6="AA-"),0%,IF(OR(H6="A+",H6="A",H6="A-"),20%,IF(OR(H6="BBB+",H6="BBB",H6="BBB-"),50%,IF(OR(H6="BB+",H6="BB",H6="BB-",H6="B+",H6="B",H6="B-"),100%,IF(H6="&lt; B-",150%,""))))),IF(LEFT(L6,3)="(b)",IF(OR(H6="AAA",H6="AA+",H6="AA",H6="AA-"),20%,IF(OR(H6="A+",H6="A",H6="A-"),50%,IF(OR(H6="BBB+",H6="BBB",H6="BBB-",H6="BB+",H6="BB",H6="BB-"),100%,150%))),IF(LEFT(L6,3)="(c)",0%,IF(LEFT(L6,3)="(d)",IF(OR(H6="AAA",H6="AA+",H6="AA",H6="AA-"),20%,IF(OR(H6="A+",H6="A",H6="A-",H6="BBB+",H6="BBB",H6="BBB-"),50%,IF(OR(H6="BB+",H6="BB",H6="BB-"),100%,150%))),IF(LEFT(L6,3)="(e)",IF(OR(H6="AAA",H6="AA+",H6="AA",H6="AA-",H6="A+",H6="A",H6="A-"),20%,IF(OR(H6="BBB+",H6="BBB",H6="BBB-"),50%,IF(OR(H6="BB+",H6="BB",H6="BB-",H6="B+",H6="B",H6="B-"),100%,IF(H6="&lt; B-",150%,"")))),IF(LEFT(L6,3)="(f)",75%,IF(LEFT(L6,3)="(g)",35%,IF(LEFT(L6,3)="(h)",100%,IF(LEFT(L6,3)="(i)",150%,IF(LEFT(L6,3)="(j)",150%,IF(LEFT(L6,3)="(k)",100%,"")))))))))))))</f>
        <v/>
      </c>
      <c r="N6" s="8" t="n">
        <v>5900000000</v>
      </c>
      <c r="O6" s="8" t="n">
        <v>897575000</v>
      </c>
      <c r="P6" s="8">
        <f>MAX(0,N6-O6)</f>
        <v/>
      </c>
      <c r="Q6" s="8" t="inlineStr">
        <is>
          <t>EUR</t>
        </is>
      </c>
      <c r="R6" s="171" t="inlineStr">
        <is>
          <t>OUI</t>
        </is>
      </c>
      <c r="S6" s="171" t="inlineStr">
        <is>
          <t>non_financee</t>
        </is>
      </c>
      <c r="T6" s="10">
        <f>IF(R6="NON",IFERROR(O6,0),IF(S6="financee",MAX(0,IFERROR(CRM_financée!J6,0)-IFERROR(CRM_financée!L6,0)),IF(S6="non_financee",IFERROR("ND",0))))</f>
        <v/>
      </c>
      <c r="U6" s="171">
        <f>IF(R6="NON",IFERROR(P6,0),IF(S6="financee",MAX(0,IFERROR(CRM_financée!K6,0)-IFERROR(CRM_financée!L6,0)),IF(S6="non_financee",IFERROR(CRM_non_financee!K6,0))))</f>
        <v/>
      </c>
      <c r="V6" s="10">
        <f>IF(T6="ND","ND",IFERROR(Traitement_HB!D6,0))</f>
        <v/>
      </c>
      <c r="W6" s="11">
        <f>IF(T6="ND","ND",IFERROR(T6+V6,0))</f>
        <v/>
      </c>
      <c r="X6" s="171">
        <f>IF(T6="ND",CRM_non_financee!O6,IFERROR(T6*M6,0))</f>
        <v/>
      </c>
      <c r="Y6" s="171">
        <f>IF(T6="ND",(CRM_non_financee!M6*CRM_non_financee!F6+CRM_non_financee!N6*'Template données'!M6),IFERROR(V6*M6,0))</f>
        <v/>
      </c>
      <c r="Z6" s="12">
        <f>IFERROR(X6+Y6,0)</f>
        <v/>
      </c>
      <c r="AA6" s="141">
        <f>IFERROR(Z6,0)*8%</f>
        <v/>
      </c>
    </row>
    <row r="7" ht="24" customHeight="1" s="173">
      <c r="A7" s="7">
        <f>TODAY()</f>
        <v/>
      </c>
      <c r="B7" s="5" t="inlineStr">
        <is>
          <t>CP006</t>
        </is>
      </c>
      <c r="C7" s="7" t="n">
        <v>45677</v>
      </c>
      <c r="D7" s="7" t="n">
        <v>55033</v>
      </c>
      <c r="E7" s="6">
        <f>IFERROR(DATEDIF(C7,D7,"m"), "")</f>
        <v/>
      </c>
      <c r="F7" s="6">
        <f>IFERROR(DATEDIF(A7,D7,"m"), "")</f>
        <v/>
      </c>
      <c r="G7" s="6" t="inlineStr">
        <is>
          <t>Finance Club</t>
        </is>
      </c>
      <c r="H7" s="7" t="inlineStr">
        <is>
          <t>B</t>
        </is>
      </c>
      <c r="I7" s="7" t="inlineStr">
        <is>
          <t>Côte d’Ivoire</t>
        </is>
      </c>
      <c r="J7" s="7" t="inlineStr">
        <is>
          <t>B-</t>
        </is>
      </c>
      <c r="K7" s="27">
        <f>_xlfn.IFS(
J7="AAA",'(a) souverains'!$B$7,
J7="AA+",'(a) souverains'!$B$8,
J7="AA",'(a) souverains'!$B$9,
J7="AA-",'(a) souverains'!$B$10,
J7="A+",'(a) souverains'!$B$11,
J7="A",'(a) souverains'!$B$12,
J7="A-",'(a) souverains'!$B$13,
J7="BBB+",'(a) souverains'!$B$14,
J7="BBB",'(a) souverains'!$B$15,
J7="BBB-",'(a) souverains'!$B$16,
J7="BB+",'(a) souverains'!$B$17,
J7="BB",'(a) souverains'!$B$18,
J7="BB-",'(a) souverains'!$B$19,
J7="B+",'(a) souverains'!$B$20,
J7="B",'(a) souverains'!$B$21,
J7="B-",'(a) souverains'!$B$22,
J7="&lt; B-",'(a) souverains'!$B$23,
J7="Non noté",'(a) souverains'!$B$24,
TRUE,"Erreur de correspondance"
)</f>
        <v/>
      </c>
      <c r="L7" s="7" t="inlineStr">
        <is>
          <t>(c) Expositions sur les BMD</t>
        </is>
      </c>
      <c r="M7" s="140">
        <f>IF(L7="","",IF(OR(H7="",H7="Non noté"),MAX(K7,100%),IF(LEFT(L7,3)="(a)",IF(OR(H7="AAA",H7="AA+",H7="AA",H7="AA-"),0%,IF(OR(H7="A+",H7="A",H7="A-"),20%,IF(OR(H7="BBB+",H7="BBB",H7="BBB-"),50%,IF(OR(H7="BB+",H7="BB",H7="BB-",H7="B+",H7="B",H7="B-"),100%,IF(H7="&lt; B-",150%,""))))),IF(LEFT(L7,3)="(b)",IF(OR(H7="AAA",H7="AA+",H7="AA",H7="AA-"),20%,IF(OR(H7="A+",H7="A",H7="A-"),50%,IF(OR(H7="BBB+",H7="BBB",H7="BBB-",H7="BB+",H7="BB",H7="BB-"),100%,150%))),IF(LEFT(L7,3)="(c)",0%,IF(LEFT(L7,3)="(d)",IF(OR(H7="AAA",H7="AA+",H7="AA",H7="AA-"),20%,IF(OR(H7="A+",H7="A",H7="A-",H7="BBB+",H7="BBB",H7="BBB-"),50%,IF(OR(H7="BB+",H7="BB",H7="BB-"),100%,150%))),IF(LEFT(L7,3)="(e)",IF(OR(H7="AAA",H7="AA+",H7="AA",H7="AA-",H7="A+",H7="A",H7="A-"),20%,IF(OR(H7="BBB+",H7="BBB",H7="BBB-"),50%,IF(OR(H7="BB+",H7="BB",H7="BB-",H7="B+",H7="B",H7="B-"),100%,IF(H7="&lt; B-",150%,"")))),IF(LEFT(L7,3)="(f)",75%,IF(LEFT(L7,3)="(g)",35%,IF(LEFT(L7,3)="(h)",100%,IF(LEFT(L7,3)="(i)",150%,IF(LEFT(L7,3)="(j)",150%,IF(LEFT(L7,3)="(k)",100%,"")))))))))))))</f>
        <v/>
      </c>
      <c r="N7" s="8" t="n">
        <v>7530000000</v>
      </c>
      <c r="O7" s="8" t="n">
        <v>1154995000</v>
      </c>
      <c r="P7" s="8">
        <f>MAX(0,N7-O7)</f>
        <v/>
      </c>
      <c r="Q7" s="8" t="inlineStr">
        <is>
          <t>USD</t>
        </is>
      </c>
      <c r="R7" s="171" t="inlineStr">
        <is>
          <t>NON</t>
        </is>
      </c>
      <c r="S7" s="171" t="inlineStr">
        <is>
          <t>non_financee</t>
        </is>
      </c>
      <c r="T7" s="10">
        <f>IF(R7="NON",IFERROR(O7,0),IF(S7="financee",MAX(0,IFERROR(CRM_financée!J7,0)-IFERROR(CRM_financée!L7,0)),IF(S7="non_financee",IFERROR("ND",0))))</f>
        <v/>
      </c>
      <c r="U7" s="171">
        <f>IF(R7="NON",IFERROR(P7,0),IF(S7="financee",MAX(0,IFERROR(CRM_financée!K7,0)-IFERROR(CRM_financée!L7,0)),IF(S7="non_financee",IFERROR(CRM_non_financee!K7,0))))</f>
        <v/>
      </c>
      <c r="V7" s="10">
        <f>IF(T7="ND","ND",IFERROR(Traitement_HB!D7,0))</f>
        <v/>
      </c>
      <c r="W7" s="11">
        <f>IF(T7="ND","ND",IFERROR(T7+V7,0))</f>
        <v/>
      </c>
      <c r="X7" s="171">
        <f>IF(T7="ND",CRM_non_financee!O7,IFERROR(T7*M7,0))</f>
        <v/>
      </c>
      <c r="Y7" s="171">
        <f>IF(T7="ND",(CRM_non_financee!M7*CRM_non_financee!F7+CRM_non_financee!N7*'Template données'!M7),IFERROR(V7*M7,0))</f>
        <v/>
      </c>
      <c r="Z7" s="12">
        <f>IFERROR(X7+Y7,0)</f>
        <v/>
      </c>
      <c r="AA7" s="141">
        <f>IFERROR(Z7,0)*8%</f>
        <v/>
      </c>
    </row>
    <row r="8" ht="24" customHeight="1" s="173">
      <c r="A8" s="7">
        <f>TODAY()</f>
        <v/>
      </c>
      <c r="B8" s="5" t="inlineStr">
        <is>
          <t>CP007</t>
        </is>
      </c>
      <c r="C8" s="7" t="n">
        <v>44824</v>
      </c>
      <c r="D8" s="7" t="n">
        <v>47472</v>
      </c>
      <c r="E8" s="6">
        <f>IFERROR(DATEDIF(C8,D8,"m"),"")</f>
        <v/>
      </c>
      <c r="F8" s="6">
        <f>IFERROR(DATEDIF(A8,D8,"m"), "")</f>
        <v/>
      </c>
      <c r="G8" s="6" t="inlineStr">
        <is>
          <t>Orion Consulting</t>
        </is>
      </c>
      <c r="H8" s="7" t="inlineStr">
        <is>
          <t>AA-</t>
        </is>
      </c>
      <c r="I8" s="7" t="inlineStr">
        <is>
          <t>Mali</t>
        </is>
      </c>
      <c r="J8" s="7" t="inlineStr">
        <is>
          <t>&lt; B-</t>
        </is>
      </c>
      <c r="K8" s="27">
        <f>_xlfn.IFS(
J8="AAA",'(a) souverains'!$B$7,
J8="AA+",'(a) souverains'!$B$8,
J8="AA",'(a) souverains'!$B$9,
J8="AA-",'(a) souverains'!$B$10,
J8="A+",'(a) souverains'!$B$11,
J8="A",'(a) souverains'!$B$12,
J8="A-",'(a) souverains'!$B$13,
J8="BBB+",'(a) souverains'!$B$14,
J8="BBB",'(a) souverains'!$B$15,
J8="BBB-",'(a) souverains'!$B$16,
J8="BB+",'(a) souverains'!$B$17,
J8="BB",'(a) souverains'!$B$18,
J8="BB-",'(a) souverains'!$B$19,
J8="B+",'(a) souverains'!$B$20,
J8="B",'(a) souverains'!$B$21,
J8="B-",'(a) souverains'!$B$22,
J8="&lt; B-",'(a) souverains'!$B$23,
J8="Non noté",'(a) souverains'!$B$24,
TRUE,"Erreur de correspondance"
)</f>
        <v/>
      </c>
      <c r="L8" s="7" t="inlineStr">
        <is>
          <t>(i) créances en souffrance</t>
        </is>
      </c>
      <c r="M8" s="140">
        <f>IF(L8="","",IF(OR(H8="",H8="Non noté"),MAX(K8,100%),IF(LEFT(L8,3)="(a)",IF(OR(H8="AAA",H8="AA+",H8="AA",H8="AA-"),0%,IF(OR(H8="A+",H8="A",H8="A-"),20%,IF(OR(H8="BBB+",H8="BBB",H8="BBB-"),50%,IF(OR(H8="BB+",H8="BB",H8="BB-",H8="B+",H8="B",H8="B-"),100%,IF(H8="&lt; B-",150%,""))))),IF(LEFT(L8,3)="(b)",IF(OR(H8="AAA",H8="AA+",H8="AA",H8="AA-"),20%,IF(OR(H8="A+",H8="A",H8="A-"),50%,IF(OR(H8="BBB+",H8="BBB",H8="BBB-",H8="BB+",H8="BB",H8="BB-"),100%,150%))),IF(LEFT(L8,3)="(c)",0%,IF(LEFT(L8,3)="(d)",IF(OR(H8="AAA",H8="AA+",H8="AA",H8="AA-"),20%,IF(OR(H8="A+",H8="A",H8="A-",H8="BBB+",H8="BBB",H8="BBB-"),50%,IF(OR(H8="BB+",H8="BB",H8="BB-"),100%,150%))),IF(LEFT(L8,3)="(e)",IF(OR(H8="AAA",H8="AA+",H8="AA",H8="AA-",H8="A+",H8="A",H8="A-"),20%,IF(OR(H8="BBB+",H8="BBB",H8="BBB-"),50%,IF(OR(H8="BB+",H8="BB",H8="BB-",H8="B+",H8="B",H8="B-"),100%,IF(H8="&lt; B-",150%,"")))),IF(LEFT(L8,3)="(f)",75%,IF(LEFT(L8,3)="(g)",35%,IF(LEFT(L8,3)="(h)",100%,IF(LEFT(L8,3)="(i)",150%,IF(LEFT(L8,3)="(j)",150%,IF(LEFT(L8,3)="(k)",100%,"")))))))))))))</f>
        <v/>
      </c>
      <c r="N8" s="8" t="n">
        <v>9160000000</v>
      </c>
      <c r="O8" s="8" t="n">
        <v>1412415000</v>
      </c>
      <c r="P8" s="8">
        <f>MAX(0,N8-O8)</f>
        <v/>
      </c>
      <c r="Q8" s="8" t="inlineStr">
        <is>
          <t>XOF</t>
        </is>
      </c>
      <c r="R8" s="171" t="inlineStr">
        <is>
          <t>NON</t>
        </is>
      </c>
      <c r="S8" s="171" t="inlineStr">
        <is>
          <t>Non éligible</t>
        </is>
      </c>
      <c r="T8" s="10">
        <f>IF(R8="NON",IFERROR(O8,0),IF(S8="financee",MAX(0,IFERROR(CRM_financée!J8,0)-IFERROR(CRM_financée!L8,0)),IF(S8="non_financee",IFERROR("ND",0))))</f>
        <v/>
      </c>
      <c r="U8" s="171">
        <f>IF(R8="NON",IFERROR(P8,0),IF(S8="financee",MAX(0,IFERROR(CRM_financée!K8,0)-IFERROR(CRM_financée!L8,0)),IF(S8="non_financee",IFERROR(CRM_non_financee!K8,0))))</f>
        <v/>
      </c>
      <c r="V8" s="10">
        <f>IF(T8="ND","ND",IFERROR(Traitement_HB!D8,0))</f>
        <v/>
      </c>
      <c r="W8" s="11">
        <f>IF(T8="ND","ND",IFERROR(T8+V8,0))</f>
        <v/>
      </c>
      <c r="X8" s="171">
        <f>IF(T8="ND",CRM_non_financee!O8,IFERROR(T8*M8,0))</f>
        <v/>
      </c>
      <c r="Y8" s="171">
        <f>IF(T8="ND",(CRM_non_financee!M8*CRM_non_financee!F8+CRM_non_financee!N8*'Template données'!M8),IFERROR(V8*M8,0))</f>
        <v/>
      </c>
      <c r="Z8" s="12">
        <f>IFERROR(X8+Y8,0)</f>
        <v/>
      </c>
      <c r="AA8" s="141">
        <f>IFERROR(Z8,0)*8%</f>
        <v/>
      </c>
    </row>
    <row r="9" ht="24" customHeight="1" s="173">
      <c r="A9" s="7">
        <f>TODAY()</f>
        <v/>
      </c>
      <c r="B9" s="5" t="inlineStr">
        <is>
          <t>CP008</t>
        </is>
      </c>
      <c r="C9" s="7" t="n">
        <v>44321</v>
      </c>
      <c r="D9" s="7" t="n">
        <v>47973</v>
      </c>
      <c r="E9" s="6">
        <f>IFERROR(DATEDIF(C9,D9,"m"),"")</f>
        <v/>
      </c>
      <c r="F9" s="6">
        <f>IFERROR(DATEDIF(A9,D9,"m"), "")</f>
        <v/>
      </c>
      <c r="G9" s="6" t="inlineStr">
        <is>
          <t>Atlas Corporation</t>
        </is>
      </c>
      <c r="H9" s="7" t="inlineStr">
        <is>
          <t>B+</t>
        </is>
      </c>
      <c r="I9" s="7" t="inlineStr">
        <is>
          <t>Niger</t>
        </is>
      </c>
      <c r="J9" s="7" t="inlineStr">
        <is>
          <t>AAA</t>
        </is>
      </c>
      <c r="K9" s="27">
        <f>_xlfn.IFS(
J9="AAA",'(a) souverains'!$B$7,
J9="AA+",'(a) souverains'!$B$8,
J9="AA",'(a) souverains'!$B$9,
J9="AA-",'(a) souverains'!$B$10,
J9="A+",'(a) souverains'!$B$11,
J9="A",'(a) souverains'!$B$12,
J9="A-",'(a) souverains'!$B$13,
J9="BBB+",'(a) souverains'!$B$14,
J9="BBB",'(a) souverains'!$B$15,
J9="BBB-",'(a) souverains'!$B$16,
J9="BB+",'(a) souverains'!$B$17,
J9="BB",'(a) souverains'!$B$18,
J9="BB-",'(a) souverains'!$B$19,
J9="B+",'(a) souverains'!$B$20,
J9="B",'(a) souverains'!$B$21,
J9="B-",'(a) souverains'!$B$22,
J9="&lt; B-",'(a) souverains'!$B$23,
J9="Non noté",'(a) souverains'!$B$24,
TRUE,"Erreur de correspondance"
)</f>
        <v/>
      </c>
      <c r="L9" s="7" t="inlineStr">
        <is>
          <t xml:space="preserve">(a) souverains </t>
        </is>
      </c>
      <c r="M9" s="140">
        <f>IF(L9="","",IF(OR(H9="",H9="Non noté"),MAX(K9,100%),IF(LEFT(L9,3)="(a)",IF(OR(H9="AAA",H9="AA+",H9="AA",H9="AA-"),0%,IF(OR(H9="A+",H9="A",H9="A-"),20%,IF(OR(H9="BBB+",H9="BBB",H9="BBB-"),50%,IF(OR(H9="BB+",H9="BB",H9="BB-",H9="B+",H9="B",H9="B-"),100%,IF(H9="&lt; B-",150%,""))))),IF(LEFT(L9,3)="(b)",IF(OR(H9="AAA",H9="AA+",H9="AA",H9="AA-"),20%,IF(OR(H9="A+",H9="A",H9="A-"),50%,IF(OR(H9="BBB+",H9="BBB",H9="BBB-",H9="BB+",H9="BB",H9="BB-"),100%,150%))),IF(LEFT(L9,3)="(c)",0%,IF(LEFT(L9,3)="(d)",IF(OR(H9="AAA",H9="AA+",H9="AA",H9="AA-"),20%,IF(OR(H9="A+",H9="A",H9="A-",H9="BBB+",H9="BBB",H9="BBB-"),50%,IF(OR(H9="BB+",H9="BB",H9="BB-"),100%,150%))),IF(LEFT(L9,3)="(e)",IF(OR(H9="AAA",H9="AA+",H9="AA",H9="AA-",H9="A+",H9="A",H9="A-"),20%,IF(OR(H9="BBB+",H9="BBB",H9="BBB-"),50%,IF(OR(H9="BB+",H9="BB",H9="BB-",H9="B+",H9="B",H9="B-"),100%,IF(H9="&lt; B-",150%,"")))),IF(LEFT(L9,3)="(f)",75%,IF(LEFT(L9,3)="(g)",35%,IF(LEFT(L9,3)="(h)",100%,IF(LEFT(L9,3)="(i)",150%,IF(LEFT(L9,3)="(j)",150%,IF(LEFT(L9,3)="(k)",100%,"")))))))))))))</f>
        <v/>
      </c>
      <c r="N9" s="8" t="n">
        <v>10790000000</v>
      </c>
      <c r="O9" s="8" t="n">
        <v>1669835000</v>
      </c>
      <c r="P9" s="8">
        <f>MAX(0,N9-O9)</f>
        <v/>
      </c>
      <c r="Q9" s="8" t="inlineStr">
        <is>
          <t>XOF</t>
        </is>
      </c>
      <c r="R9" s="171" t="inlineStr">
        <is>
          <t>NON</t>
        </is>
      </c>
      <c r="S9" s="171" t="inlineStr">
        <is>
          <t>Non éligible</t>
        </is>
      </c>
      <c r="T9" s="10">
        <f>IF(R9="NON",IFERROR(O9,0),IF(S9="financee",MAX(0,IFERROR(CRM_financée!J9,0)-IFERROR(CRM_financée!L9,0)),IF(S9="non_financee",IFERROR("ND",0))))</f>
        <v/>
      </c>
      <c r="U9" s="171">
        <f>IF(R9="NON",IFERROR(P9,0),IF(S9="financee",MAX(0,IFERROR(CRM_financée!K9,0)-IFERROR(CRM_financée!L9,0)),IF(S9="non_financee",IFERROR(CRM_non_financee!K9,0))))</f>
        <v/>
      </c>
      <c r="V9" s="10">
        <f>IF(T9="ND","ND",IFERROR(Traitement_HB!D9,0))</f>
        <v/>
      </c>
      <c r="W9" s="11">
        <f>IF(T9="ND","ND",IFERROR(T9+V9,0))</f>
        <v/>
      </c>
      <c r="X9" s="171">
        <f>IF(T9="ND",CRM_non_financee!O9,IFERROR(T9*M9,0))</f>
        <v/>
      </c>
      <c r="Y9" s="171">
        <f>IF(T9="ND",(CRM_non_financee!M9*CRM_non_financee!F9+CRM_non_financee!N9*'Template données'!M9),IFERROR(V9*M9,0))</f>
        <v/>
      </c>
      <c r="Z9" s="12">
        <f>IFERROR(X9+Y9,0)</f>
        <v/>
      </c>
      <c r="AA9" s="141">
        <f>IFERROR(Z9,0)*8%</f>
        <v/>
      </c>
    </row>
    <row r="10" ht="24" customHeight="1" s="173">
      <c r="A10" s="7">
        <f>TODAY()</f>
        <v/>
      </c>
      <c r="B10" s="5" t="inlineStr">
        <is>
          <t>CP009</t>
        </is>
      </c>
      <c r="C10" s="7" t="n">
        <v>44147</v>
      </c>
      <c r="D10" s="7" t="n">
        <v>47069</v>
      </c>
      <c r="E10" s="6">
        <f>IFERROR(DATEDIF(C10,D10,"m"),"")</f>
        <v/>
      </c>
      <c r="F10" s="6">
        <f>IFERROR(DATEDIF(A10,D10,"m"), "")</f>
        <v/>
      </c>
      <c r="G10" s="6" t="inlineStr">
        <is>
          <t>Zenith Services</t>
        </is>
      </c>
      <c r="H10" s="7" t="inlineStr">
        <is>
          <t>B-</t>
        </is>
      </c>
      <c r="I10" s="7" t="inlineStr">
        <is>
          <t>Togo</t>
        </is>
      </c>
      <c r="J10" s="7" t="inlineStr">
        <is>
          <t>A-</t>
        </is>
      </c>
      <c r="K10" s="27">
        <f>_xlfn.IFS(
J10="AAA",'(a) souverains'!$B$7,
J10="AA+",'(a) souverains'!$B$8,
J10="AA",'(a) souverains'!$B$9,
J10="AA-",'(a) souverains'!$B$10,
J10="A+",'(a) souverains'!$B$11,
J10="A",'(a) souverains'!$B$12,
J10="A-",'(a) souverains'!$B$13,
J10="BBB+",'(a) souverains'!$B$14,
J10="BBB",'(a) souverains'!$B$15,
J10="BBB-",'(a) souverains'!$B$16,
J10="BB+",'(a) souverains'!$B$17,
J10="BB",'(a) souverains'!$B$18,
J10="BB-",'(a) souverains'!$B$19,
J10="B+",'(a) souverains'!$B$20,
J10="B",'(a) souverains'!$B$21,
J10="B-",'(a) souverains'!$B$22,
J10="&lt; B-",'(a) souverains'!$B$23,
J10="Non noté",'(a) souverains'!$B$24,
TRUE,"Erreur de correspondance"
)</f>
        <v/>
      </c>
      <c r="L10" s="7" t="inlineStr">
        <is>
          <t xml:space="preserve">(f) clientèle de détail </t>
        </is>
      </c>
      <c r="M10" s="140">
        <f>IF(L10="","",IF(OR(H10="",H10="Non noté"),MAX(K10,100%),IF(LEFT(L10,3)="(a)",IF(OR(H10="AAA",H10="AA+",H10="AA",H10="AA-"),0%,IF(OR(H10="A+",H10="A",H10="A-"),20%,IF(OR(H10="BBB+",H10="BBB",H10="BBB-"),50%,IF(OR(H10="BB+",H10="BB",H10="BB-",H10="B+",H10="B",H10="B-"),100%,IF(H10="&lt; B-",150%,""))))),IF(LEFT(L10,3)="(b)",IF(OR(H10="AAA",H10="AA+",H10="AA",H10="AA-"),20%,IF(OR(H10="A+",H10="A",H10="A-"),50%,IF(OR(H10="BBB+",H10="BBB",H10="BBB-",H10="BB+",H10="BB",H10="BB-"),100%,150%))),IF(LEFT(L10,3)="(c)",0%,IF(LEFT(L10,3)="(d)",IF(OR(H10="AAA",H10="AA+",H10="AA",H10="AA-"),20%,IF(OR(H10="A+",H10="A",H10="A-",H10="BBB+",H10="BBB",H10="BBB-"),50%,IF(OR(H10="BB+",H10="BB",H10="BB-"),100%,150%))),IF(LEFT(L10,3)="(e)",IF(OR(H10="AAA",H10="AA+",H10="AA",H10="AA-",H10="A+",H10="A",H10="A-"),20%,IF(OR(H10="BBB+",H10="BBB",H10="BBB-"),50%,IF(OR(H10="BB+",H10="BB",H10="BB-",H10="B+",H10="B",H10="B-"),100%,IF(H10="&lt; B-",150%,"")))),IF(LEFT(L10,3)="(f)",75%,IF(LEFT(L10,3)="(g)",35%,IF(LEFT(L10,3)="(h)",100%,IF(LEFT(L10,3)="(i)",150%,IF(LEFT(L10,3)="(j)",150%,IF(LEFT(L10,3)="(k)",100%,"")))))))))))))</f>
        <v/>
      </c>
      <c r="N10" s="8" t="n">
        <v>12420000000</v>
      </c>
      <c r="O10" s="8" t="n">
        <v>1927255000</v>
      </c>
      <c r="P10" s="8">
        <f>MAX(0,N10-O10)</f>
        <v/>
      </c>
      <c r="Q10" s="8" t="inlineStr">
        <is>
          <t>EUR</t>
        </is>
      </c>
      <c r="R10" s="171" t="inlineStr">
        <is>
          <t>OUI</t>
        </is>
      </c>
      <c r="S10" s="171" t="inlineStr">
        <is>
          <t>non_financee</t>
        </is>
      </c>
      <c r="T10" s="10">
        <f>IF(R10="NON",IFERROR(O10,0),IF(S10="financee",MAX(0,IFERROR(CRM_financée!J10,0)-IFERROR(CRM_financée!L10,0)),IF(S10="non_financee",IFERROR("ND",0))))</f>
        <v/>
      </c>
      <c r="U10" s="171">
        <f>IF(R10="NON",IFERROR(P10,0),IF(S10="financee",MAX(0,IFERROR(CRM_financée!K10,0)-IFERROR(CRM_financée!L10,0)),IF(S10="non_financee",IFERROR(CRM_non_financee!K10,0))))</f>
        <v/>
      </c>
      <c r="V10" s="10">
        <f>IF(T10="ND","ND",IFERROR(Traitement_HB!D10,0))</f>
        <v/>
      </c>
      <c r="W10" s="11">
        <f>IF(T10="ND","ND",IFERROR(T10+V10,0))</f>
        <v/>
      </c>
      <c r="X10" s="171">
        <f>IF(T10="ND",CRM_non_financee!O10,IFERROR(T10*M10,0))</f>
        <v/>
      </c>
      <c r="Y10" s="171">
        <f>IF(T10="ND",(CRM_non_financee!M10*CRM_non_financee!F10+CRM_non_financee!N10*'Template données'!M10),IFERROR(V10*M10,0))</f>
        <v/>
      </c>
      <c r="Z10" s="12">
        <f>IFERROR(X10+Y10,0)</f>
        <v/>
      </c>
      <c r="AA10" s="141">
        <f>IFERROR(Z10,0)*8%</f>
        <v/>
      </c>
    </row>
    <row r="11" ht="24" customHeight="1" s="173">
      <c r="A11" s="7">
        <f>TODAY()</f>
        <v/>
      </c>
      <c r="B11" s="5" t="inlineStr">
        <is>
          <t>CP010</t>
        </is>
      </c>
      <c r="C11" s="7" t="n">
        <v>45015</v>
      </c>
      <c r="D11" s="7" t="n">
        <v>46476</v>
      </c>
      <c r="E11" s="6">
        <f>IFERROR(DATEDIF(C11,D11,"m"),"")</f>
        <v/>
      </c>
      <c r="F11" s="6">
        <f>IFERROR(DATEDIF(A11,D11,"m"), "")</f>
        <v/>
      </c>
      <c r="G11" s="6" t="inlineStr">
        <is>
          <t>Sigma Énergie</t>
        </is>
      </c>
      <c r="H11" s="7" t="inlineStr">
        <is>
          <t>BB-</t>
        </is>
      </c>
      <c r="I11" s="7" t="inlineStr">
        <is>
          <t>Guinée-Bissau</t>
        </is>
      </c>
      <c r="J11" s="7" t="inlineStr">
        <is>
          <t>B-</t>
        </is>
      </c>
      <c r="K11" s="27">
        <f>_xlfn.IFS(
J11="AAA",'(a) souverains'!$B$7,
J11="AA+",'(a) souverains'!$B$8,
J11="AA",'(a) souverains'!$B$9,
J11="AA-",'(a) souverains'!$B$10,
J11="A+",'(a) souverains'!$B$11,
J11="A",'(a) souverains'!$B$12,
J11="A-",'(a) souverains'!$B$13,
J11="BBB+",'(a) souverains'!$B$14,
J11="BBB",'(a) souverains'!$B$15,
J11="BBB-",'(a) souverains'!$B$16,
J11="BB+",'(a) souverains'!$B$17,
J11="BB",'(a) souverains'!$B$18,
J11="BB-",'(a) souverains'!$B$19,
J11="B+",'(a) souverains'!$B$20,
J11="B",'(a) souverains'!$B$21,
J11="B-",'(a) souverains'!$B$22,
J11="&lt; B-",'(a) souverains'!$B$23,
J11="Non noté",'(a) souverains'!$B$24,
TRUE,"Erreur de correspondance"
)</f>
        <v/>
      </c>
      <c r="L11" s="7" t="inlineStr">
        <is>
          <t>(g) prêts garantis par l'immo R</t>
        </is>
      </c>
      <c r="M11" s="140">
        <f>IF(L11="","",IF(OR(H11="",H11="Non noté"),MAX(K11,100%),IF(LEFT(L11,3)="(a)",IF(OR(H11="AAA",H11="AA+",H11="AA",H11="AA-"),0%,IF(OR(H11="A+",H11="A",H11="A-"),20%,IF(OR(H11="BBB+",H11="BBB",H11="BBB-"),50%,IF(OR(H11="BB+",H11="BB",H11="BB-",H11="B+",H11="B",H11="B-"),100%,IF(H11="&lt; B-",150%,""))))),IF(LEFT(L11,3)="(b)",IF(OR(H11="AAA",H11="AA+",H11="AA",H11="AA-"),20%,IF(OR(H11="A+",H11="A",H11="A-"),50%,IF(OR(H11="BBB+",H11="BBB",H11="BBB-",H11="BB+",H11="BB",H11="BB-"),100%,150%))),IF(LEFT(L11,3)="(c)",0%,IF(LEFT(L11,3)="(d)",IF(OR(H11="AAA",H11="AA+",H11="AA",H11="AA-"),20%,IF(OR(H11="A+",H11="A",H11="A-",H11="BBB+",H11="BBB",H11="BBB-"),50%,IF(OR(H11="BB+",H11="BB",H11="BB-"),100%,150%))),IF(LEFT(L11,3)="(e)",IF(OR(H11="AAA",H11="AA+",H11="AA",H11="AA-",H11="A+",H11="A",H11="A-"),20%,IF(OR(H11="BBB+",H11="BBB",H11="BBB-"),50%,IF(OR(H11="BB+",H11="BB",H11="BB-",H11="B+",H11="B",H11="B-"),100%,IF(H11="&lt; B-",150%,"")))),IF(LEFT(L11,3)="(f)",75%,IF(LEFT(L11,3)="(g)",35%,IF(LEFT(L11,3)="(h)",100%,IF(LEFT(L11,3)="(i)",150%,IF(LEFT(L11,3)="(j)",150%,IF(LEFT(L11,3)="(k)",100%,"")))))))))))))</f>
        <v/>
      </c>
      <c r="N11" s="8" t="n">
        <v>14050000000</v>
      </c>
      <c r="O11" s="8" t="n">
        <v>2184675000</v>
      </c>
      <c r="P11" s="8">
        <f>MAX(0,N11-O11)</f>
        <v/>
      </c>
      <c r="Q11" s="8" t="inlineStr">
        <is>
          <t>XOF</t>
        </is>
      </c>
      <c r="R11" s="171" t="inlineStr">
        <is>
          <t>NON</t>
        </is>
      </c>
      <c r="S11" s="171" t="inlineStr">
        <is>
          <t>Non éligible</t>
        </is>
      </c>
      <c r="T11" s="10">
        <f>IF(R11="NON",IFERROR(O11,0),IF(S11="financee",MAX(0,IFERROR(CRM_financée!J11,0)-IFERROR(CRM_financée!L11,0)),IF(S11="non_financee",IFERROR("ND",0))))</f>
        <v/>
      </c>
      <c r="U11" s="171">
        <f>IF(R11="NON",IFERROR(P11,0),IF(S11="financee",MAX(0,IFERROR(CRM_financée!K11,0)-IFERROR(CRM_financée!L11,0)),IF(S11="non_financee",IFERROR(CRM_non_financee!K11,0))))</f>
        <v/>
      </c>
      <c r="V11" s="10">
        <f>IF(T11="ND","ND",IFERROR(Traitement_HB!D11,0))</f>
        <v/>
      </c>
      <c r="W11" s="11">
        <f>IF(T11="ND","ND",IFERROR(T11+V11,0))</f>
        <v/>
      </c>
      <c r="X11" s="171">
        <f>IF(T11="ND",CRM_non_financee!O11,IFERROR(T11*M11,0))</f>
        <v/>
      </c>
      <c r="Y11" s="171">
        <f>IF(T11="ND",(CRM_non_financee!M11*CRM_non_financee!F11+CRM_non_financee!N11*'Template données'!M11),IFERROR(V11*M11,0))</f>
        <v/>
      </c>
      <c r="Z11" s="12">
        <f>IFERROR(X11+Y11,0)</f>
        <v/>
      </c>
      <c r="AA11" s="141">
        <f>IFERROR(Z11,0)*8%</f>
        <v/>
      </c>
    </row>
    <row r="12" ht="24" customHeight="1" s="173">
      <c r="A12" s="7">
        <f>TODAY()</f>
        <v/>
      </c>
      <c r="B12" s="5" t="inlineStr">
        <is>
          <t>CP011</t>
        </is>
      </c>
      <c r="C12" s="7" t="n">
        <v>45522</v>
      </c>
      <c r="D12" s="7" t="n">
        <v>47348</v>
      </c>
      <c r="E12" s="6">
        <f>IFERROR(DATEDIF(C12,D12,"m"),"")</f>
        <v/>
      </c>
      <c r="F12" s="6">
        <f>IFERROR(DATEDIF(A12,D12,"m"), "")</f>
        <v/>
      </c>
      <c r="G12" s="6" t="inlineStr">
        <is>
          <t>Polaris Group</t>
        </is>
      </c>
      <c r="H12" s="7" t="inlineStr">
        <is>
          <t>Non noté</t>
        </is>
      </c>
      <c r="I12" s="7" t="inlineStr">
        <is>
          <t>Côte d’Ivoire</t>
        </is>
      </c>
      <c r="J12" s="7" t="inlineStr">
        <is>
          <t>BB-</t>
        </is>
      </c>
      <c r="K12" s="27">
        <f>_xlfn.IFS(
J12="AAA",'(a) souverains'!$B$7,
J12="AA+",'(a) souverains'!$B$8,
J12="AA",'(a) souverains'!$B$9,
J12="AA-",'(a) souverains'!$B$10,
J12="A+",'(a) souverains'!$B$11,
J12="A",'(a) souverains'!$B$12,
J12="A-",'(a) souverains'!$B$13,
J12="BBB+",'(a) souverains'!$B$14,
J12="BBB",'(a) souverains'!$B$15,
J12="BBB-",'(a) souverains'!$B$16,
J12="BB+",'(a) souverains'!$B$17,
J12="BB",'(a) souverains'!$B$18,
J12="BB-",'(a) souverains'!$B$19,
J12="B+",'(a) souverains'!$B$20,
J12="B",'(a) souverains'!$B$21,
J12="B-",'(a) souverains'!$B$22,
J12="&lt; B-",'(a) souverains'!$B$23,
J12="Non noté",'(a) souverains'!$B$24,
TRUE,"Erreur de correspondance"
)</f>
        <v/>
      </c>
      <c r="L12" s="7" t="inlineStr">
        <is>
          <t>(c) Expositions sur les BMD</t>
        </is>
      </c>
      <c r="M12" s="140">
        <f>IF(L12="","",IF(OR(H12="",H12="Non noté"),MAX(K12,100%),IF(LEFT(L12,3)="(a)",IF(OR(H12="AAA",H12="AA+",H12="AA",H12="AA-"),0%,IF(OR(H12="A+",H12="A",H12="A-"),20%,IF(OR(H12="BBB+",H12="BBB",H12="BBB-"),50%,IF(OR(H12="BB+",H12="BB",H12="BB-",H12="B+",H12="B",H12="B-"),100%,IF(H12="&lt; B-",150%,""))))),IF(LEFT(L12,3)="(b)",IF(OR(H12="AAA",H12="AA+",H12="AA",H12="AA-"),20%,IF(OR(H12="A+",H12="A",H12="A-"),50%,IF(OR(H12="BBB+",H12="BBB",H12="BBB-",H12="BB+",H12="BB",H12="BB-"),100%,150%))),IF(LEFT(L12,3)="(c)",0%,IF(LEFT(L12,3)="(d)",IF(OR(H12="AAA",H12="AA+",H12="AA",H12="AA-"),20%,IF(OR(H12="A+",H12="A",H12="A-",H12="BBB+",H12="BBB",H12="BBB-"),50%,IF(OR(H12="BB+",H12="BB",H12="BB-"),100%,150%))),IF(LEFT(L12,3)="(e)",IF(OR(H12="AAA",H12="AA+",H12="AA",H12="AA-",H12="A+",H12="A",H12="A-"),20%,IF(OR(H12="BBB+",H12="BBB",H12="BBB-"),50%,IF(OR(H12="BB+",H12="BB",H12="BB-",H12="B+",H12="B",H12="B-"),100%,IF(H12="&lt; B-",150%,"")))),IF(LEFT(L12,3)="(f)",75%,IF(LEFT(L12,3)="(g)",35%,IF(LEFT(L12,3)="(h)",100%,IF(LEFT(L12,3)="(i)",150%,IF(LEFT(L12,3)="(j)",150%,IF(LEFT(L12,3)="(k)",100%,"")))))))))))))</f>
        <v/>
      </c>
      <c r="N12" s="8" t="n">
        <v>15680000000</v>
      </c>
      <c r="O12" s="8" t="n">
        <v>2442095000</v>
      </c>
      <c r="P12" s="8">
        <f>MAX(0,N12-O12)</f>
        <v/>
      </c>
      <c r="Q12" s="8" t="inlineStr">
        <is>
          <t>EUR</t>
        </is>
      </c>
      <c r="R12" s="171" t="inlineStr">
        <is>
          <t>OUI</t>
        </is>
      </c>
      <c r="S12" s="171" t="inlineStr">
        <is>
          <t>non_financee</t>
        </is>
      </c>
      <c r="T12" s="10">
        <f>IF(R12="NON",IFERROR(O12,0),IF(S12="financee",MAX(0,IFERROR(CRM_financée!J12,0)-IFERROR(CRM_financée!L12,0)),IF(S12="non_financee",IFERROR("ND",0))))</f>
        <v/>
      </c>
      <c r="U12" s="171">
        <f>IF(R12="NON",IFERROR(P12,0),IF(S12="financee",MAX(0,IFERROR(CRM_financée!K12,0)-IFERROR(CRM_financée!L12,0)),IF(S12="non_financee",IFERROR(CRM_non_financee!K12,0))))</f>
        <v/>
      </c>
      <c r="V12" s="10">
        <f>IF(T12="ND","ND",IFERROR(Traitement_HB!D12,0))</f>
        <v/>
      </c>
      <c r="W12" s="11">
        <f>IF(T12="ND","ND",IFERROR(T12+V12,0))</f>
        <v/>
      </c>
      <c r="X12" s="171">
        <f>IF(T12="ND",CRM_non_financee!O12,IFERROR(T12*M12,0))</f>
        <v/>
      </c>
      <c r="Y12" s="171">
        <f>IF(T12="ND",(CRM_non_financee!M12*CRM_non_financee!F12+CRM_non_financee!N12*'Template données'!M12),IFERROR(V12*M12,0))</f>
        <v/>
      </c>
      <c r="Z12" s="12">
        <f>IFERROR(X12+Y12,0)</f>
        <v/>
      </c>
      <c r="AA12" s="141">
        <f>IFERROR(Z12,0)*8%</f>
        <v/>
      </c>
    </row>
    <row r="13" ht="24" customHeight="1" s="173">
      <c r="A13" s="7">
        <f>TODAY()</f>
        <v/>
      </c>
      <c r="B13" s="5" t="inlineStr">
        <is>
          <t>CP012</t>
        </is>
      </c>
      <c r="C13" s="7" t="n">
        <v>44568</v>
      </c>
      <c r="D13" s="7" t="n">
        <v>46759</v>
      </c>
      <c r="E13" s="6">
        <f>IFERROR(DATEDIF(C13,D13,"m"),"")</f>
        <v/>
      </c>
      <c r="F13" s="6">
        <f>IFERROR(DATEDIF(A13,D13,"m"), "")</f>
        <v/>
      </c>
      <c r="G13" s="6" t="inlineStr">
        <is>
          <t>Helios Entreprise</t>
        </is>
      </c>
      <c r="H13" s="7" t="inlineStr">
        <is>
          <t>B</t>
        </is>
      </c>
      <c r="I13" s="7" t="inlineStr">
        <is>
          <t>Sénégal</t>
        </is>
      </c>
      <c r="J13" s="7" t="inlineStr">
        <is>
          <t>B+</t>
        </is>
      </c>
      <c r="K13" s="27">
        <f>_xlfn.IFS(
J13="AAA",'(a) souverains'!$B$7,
J13="AA+",'(a) souverains'!$B$8,
J13="AA",'(a) souverains'!$B$9,
J13="AA-",'(a) souverains'!$B$10,
J13="A+",'(a) souverains'!$B$11,
J13="A",'(a) souverains'!$B$12,
J13="A-",'(a) souverains'!$B$13,
J13="BBB+",'(a) souverains'!$B$14,
J13="BBB",'(a) souverains'!$B$15,
J13="BBB-",'(a) souverains'!$B$16,
J13="BB+",'(a) souverains'!$B$17,
J13="BB",'(a) souverains'!$B$18,
J13="BB-",'(a) souverains'!$B$19,
J13="B+",'(a) souverains'!$B$20,
J13="B",'(a) souverains'!$B$21,
J13="B-",'(a) souverains'!$B$22,
J13="&lt; B-",'(a) souverains'!$B$23,
J13="Non noté",'(a) souverains'!$B$24,
TRUE,"Erreur de correspondance"
)</f>
        <v/>
      </c>
      <c r="L13" s="7" t="inlineStr">
        <is>
          <t>(e) entreprises</t>
        </is>
      </c>
      <c r="M13" s="140">
        <f>IF(L13="","",IF(OR(H13="",H13="Non noté"),MAX(K13,100%),IF(LEFT(L13,3)="(a)",IF(OR(H13="AAA",H13="AA+",H13="AA",H13="AA-"),0%,IF(OR(H13="A+",H13="A",H13="A-"),20%,IF(OR(H13="BBB+",H13="BBB",H13="BBB-"),50%,IF(OR(H13="BB+",H13="BB",H13="BB-",H13="B+",H13="B",H13="B-"),100%,IF(H13="&lt; B-",150%,""))))),IF(LEFT(L13,3)="(b)",IF(OR(H13="AAA",H13="AA+",H13="AA",H13="AA-"),20%,IF(OR(H13="A+",H13="A",H13="A-"),50%,IF(OR(H13="BBB+",H13="BBB",H13="BBB-",H13="BB+",H13="BB",H13="BB-"),100%,150%))),IF(LEFT(L13,3)="(c)",0%,IF(LEFT(L13,3)="(d)",IF(OR(H13="AAA",H13="AA+",H13="AA",H13="AA-"),20%,IF(OR(H13="A+",H13="A",H13="A-",H13="BBB+",H13="BBB",H13="BBB-"),50%,IF(OR(H13="BB+",H13="BB",H13="BB-"),100%,150%))),IF(LEFT(L13,3)="(e)",IF(OR(H13="AAA",H13="AA+",H13="AA",H13="AA-",H13="A+",H13="A",H13="A-"),20%,IF(OR(H13="BBB+",H13="BBB",H13="BBB-"),50%,IF(OR(H13="BB+",H13="BB",H13="BB-",H13="B+",H13="B",H13="B-"),100%,IF(H13="&lt; B-",150%,"")))),IF(LEFT(L13,3)="(f)",75%,IF(LEFT(L13,3)="(g)",35%,IF(LEFT(L13,3)="(h)",100%,IF(LEFT(L13,3)="(i)",150%,IF(LEFT(L13,3)="(j)",150%,IF(LEFT(L13,3)="(k)",100%,"")))))))))))))</f>
        <v/>
      </c>
      <c r="N13" s="8" t="n">
        <v>17310000000</v>
      </c>
      <c r="O13" s="8" t="n">
        <v>2699515000</v>
      </c>
      <c r="P13" s="8">
        <f>MAX(0,N13-O13)</f>
        <v/>
      </c>
      <c r="Q13" s="8" t="inlineStr">
        <is>
          <t>XOF</t>
        </is>
      </c>
      <c r="R13" s="171" t="inlineStr">
        <is>
          <t>NON</t>
        </is>
      </c>
      <c r="S13" s="171" t="inlineStr">
        <is>
          <t>Non éligible</t>
        </is>
      </c>
      <c r="T13" s="10">
        <f>IF(R13="NON",IFERROR(O13,0),IF(S13="financee",MAX(0,IFERROR(CRM_financée!J13,0)-IFERROR(CRM_financée!L13,0)),IF(S13="non_financee",IFERROR("ND",0))))</f>
        <v/>
      </c>
      <c r="U13" s="171">
        <f>IF(R13="NON",IFERROR(P13,0),IF(S13="financee",MAX(0,IFERROR(CRM_financée!K13,0)-IFERROR(CRM_financée!L13,0)),IF(S13="non_financee",IFERROR(CRM_non_financee!K13,0))))</f>
        <v/>
      </c>
      <c r="V13" s="10">
        <f>IF(T13="ND","ND",IFERROR(Traitement_HB!D13,0))</f>
        <v/>
      </c>
      <c r="W13" s="11">
        <f>IF(T13="ND","ND",IFERROR(T13+V13,0))</f>
        <v/>
      </c>
      <c r="X13" s="171">
        <f>IF(T13="ND",CRM_non_financee!O13,IFERROR(T13*M13,0))</f>
        <v/>
      </c>
      <c r="Y13" s="171">
        <f>IF(T13="ND",(CRM_non_financee!M13*CRM_non_financee!F13+CRM_non_financee!N13*'Template données'!M13),IFERROR(V13*M13,0))</f>
        <v/>
      </c>
      <c r="Z13" s="12">
        <f>IFERROR(X13+Y13,0)</f>
        <v/>
      </c>
      <c r="AA13" s="141">
        <f>IFERROR(Z13,0)*8%</f>
        <v/>
      </c>
    </row>
    <row r="14" ht="24" customHeight="1" s="173">
      <c r="A14" s="7">
        <f>TODAY()</f>
        <v/>
      </c>
      <c r="B14" s="5" t="inlineStr">
        <is>
          <t>CP013</t>
        </is>
      </c>
      <c r="C14" s="7" t="n">
        <v>45102</v>
      </c>
      <c r="D14" s="7" t="n">
        <v>48755</v>
      </c>
      <c r="E14" s="6">
        <f>IFERROR(DATEDIF(C14,D14,"m"),"")</f>
        <v/>
      </c>
      <c r="F14" s="6">
        <f>IFERROR(DATEDIF(A14,D14,"m"), "")</f>
        <v/>
      </c>
      <c r="G14" s="6" t="inlineStr">
        <is>
          <t>Apex Holdings</t>
        </is>
      </c>
      <c r="H14" s="7" t="inlineStr">
        <is>
          <t>B+</t>
        </is>
      </c>
      <c r="I14" s="7" t="inlineStr">
        <is>
          <t>Bénin</t>
        </is>
      </c>
      <c r="J14" s="7" t="inlineStr">
        <is>
          <t>AA-</t>
        </is>
      </c>
      <c r="K14" s="27">
        <f>_xlfn.IFS(
J14="AAA",'(a) souverains'!$B$7,
J14="AA+",'(a) souverains'!$B$8,
J14="AA",'(a) souverains'!$B$9,
J14="AA-",'(a) souverains'!$B$10,
J14="A+",'(a) souverains'!$B$11,
J14="A",'(a) souverains'!$B$12,
J14="A-",'(a) souverains'!$B$13,
J14="BBB+",'(a) souverains'!$B$14,
J14="BBB",'(a) souverains'!$B$15,
J14="BBB-",'(a) souverains'!$B$16,
J14="BB+",'(a) souverains'!$B$17,
J14="BB",'(a) souverains'!$B$18,
J14="BB-",'(a) souverains'!$B$19,
J14="B+",'(a) souverains'!$B$20,
J14="B",'(a) souverains'!$B$21,
J14="B-",'(a) souverains'!$B$22,
J14="&lt; B-",'(a) souverains'!$B$23,
J14="Non noté",'(a) souverains'!$B$24,
TRUE,"Erreur de correspondance"
)</f>
        <v/>
      </c>
      <c r="L14" s="7" t="inlineStr">
        <is>
          <t>(g) prêts garantis par l'immo R</t>
        </is>
      </c>
      <c r="M14" s="140">
        <f>IF(L14="","",IF(OR(H14="",H14="Non noté"),MAX(K14,100%),IF(LEFT(L14,3)="(a)",IF(OR(H14="AAA",H14="AA+",H14="AA",H14="AA-"),0%,IF(OR(H14="A+",H14="A",H14="A-"),20%,IF(OR(H14="BBB+",H14="BBB",H14="BBB-"),50%,IF(OR(H14="BB+",H14="BB",H14="BB-",H14="B+",H14="B",H14="B-"),100%,IF(H14="&lt; B-",150%,""))))),IF(LEFT(L14,3)="(b)",IF(OR(H14="AAA",H14="AA+",H14="AA",H14="AA-"),20%,IF(OR(H14="A+",H14="A",H14="A-"),50%,IF(OR(H14="BBB+",H14="BBB",H14="BBB-",H14="BB+",H14="BB",H14="BB-"),100%,150%))),IF(LEFT(L14,3)="(c)",0%,IF(LEFT(L14,3)="(d)",IF(OR(H14="AAA",H14="AA+",H14="AA",H14="AA-"),20%,IF(OR(H14="A+",H14="A",H14="A-",H14="BBB+",H14="BBB",H14="BBB-"),50%,IF(OR(H14="BB+",H14="BB",H14="BB-"),100%,150%))),IF(LEFT(L14,3)="(e)",IF(OR(H14="AAA",H14="AA+",H14="AA",H14="AA-",H14="A+",H14="A",H14="A-"),20%,IF(OR(H14="BBB+",H14="BBB",H14="BBB-"),50%,IF(OR(H14="BB+",H14="BB",H14="BB-",H14="B+",H14="B",H14="B-"),100%,IF(H14="&lt; B-",150%,"")))),IF(LEFT(L14,3)="(f)",75%,IF(LEFT(L14,3)="(g)",35%,IF(LEFT(L14,3)="(h)",100%,IF(LEFT(L14,3)="(i)",150%,IF(LEFT(L14,3)="(j)",150%,IF(LEFT(L14,3)="(k)",100%,"")))))))))))))</f>
        <v/>
      </c>
      <c r="N14" s="8" t="n">
        <v>18940000000</v>
      </c>
      <c r="O14" s="8" t="n">
        <v>2956935000</v>
      </c>
      <c r="P14" s="8">
        <f>MAX(0,N14-O14)</f>
        <v/>
      </c>
      <c r="Q14" s="8" t="inlineStr">
        <is>
          <t>XOF</t>
        </is>
      </c>
      <c r="R14" s="171" t="inlineStr">
        <is>
          <t>OUI</t>
        </is>
      </c>
      <c r="S14" s="171" t="inlineStr">
        <is>
          <t>non_financee</t>
        </is>
      </c>
      <c r="T14" s="10">
        <f>IF(R14="NON",IFERROR(O14,0),IF(S14="financee",MAX(0,IFERROR(CRM_financée!J14,0)-IFERROR(CRM_financée!L14,0)),IF(S14="non_financee",IFERROR("ND",0))))</f>
        <v/>
      </c>
      <c r="U14" s="171">
        <f>IF(R14="NON",IFERROR(P14,0),IF(S14="financee",MAX(0,IFERROR(CRM_financée!K14,0)-IFERROR(CRM_financée!L14,0)),IF(S14="non_financee",IFERROR(CRM_non_financee!K14,0))))</f>
        <v/>
      </c>
      <c r="V14" s="10">
        <f>IF(T14="ND","ND",IFERROR(Traitement_HB!D14,0))</f>
        <v/>
      </c>
      <c r="W14" s="11">
        <f>IF(T14="ND","ND",IFERROR(T14+V14,0))</f>
        <v/>
      </c>
      <c r="X14" s="171">
        <f>IF(T14="ND",CRM_non_financee!O14,IFERROR(T14*M14,0))</f>
        <v/>
      </c>
      <c r="Y14" s="171">
        <f>IF(T14="ND",(CRM_non_financee!M14*CRM_non_financee!F14+CRM_non_financee!N14*'Template données'!M14),IFERROR(V14*M14,0))</f>
        <v/>
      </c>
      <c r="Z14" s="12">
        <f>IFERROR(X14+Y14,0)</f>
        <v/>
      </c>
      <c r="AA14" s="141">
        <f>IFERROR(Z14,0)*8%</f>
        <v/>
      </c>
    </row>
    <row r="15" ht="24" customHeight="1" s="173">
      <c r="A15" s="7">
        <f>TODAY()</f>
        <v/>
      </c>
      <c r="B15" s="5" t="inlineStr">
        <is>
          <t>CP014</t>
        </is>
      </c>
      <c r="C15" s="7" t="n">
        <v>44300</v>
      </c>
      <c r="D15" s="7" t="n">
        <v>46674</v>
      </c>
      <c r="E15" s="6">
        <f>IFERROR(DATEDIF(C15,D15,"m"),"")</f>
        <v/>
      </c>
      <c r="F15" s="6">
        <f>IFERROR(DATEDIF(A15,D15,"m"), "")</f>
        <v/>
      </c>
      <c r="G15" s="6" t="inlineStr">
        <is>
          <t>Sirius Finance</t>
        </is>
      </c>
      <c r="H15" s="7" t="inlineStr">
        <is>
          <t>B</t>
        </is>
      </c>
      <c r="I15" s="7" t="inlineStr">
        <is>
          <t>Burkina Faso</t>
        </is>
      </c>
      <c r="J15" s="7" t="inlineStr">
        <is>
          <t>B</t>
        </is>
      </c>
      <c r="K15" s="27">
        <f>_xlfn.IFS(
J15="AAA",'(a) souverains'!$B$7,
J15="AA+",'(a) souverains'!$B$8,
J15="AA",'(a) souverains'!$B$9,
J15="AA-",'(a) souverains'!$B$10,
J15="A+",'(a) souverains'!$B$11,
J15="A",'(a) souverains'!$B$12,
J15="A-",'(a) souverains'!$B$13,
J15="BBB+",'(a) souverains'!$B$14,
J15="BBB",'(a) souverains'!$B$15,
J15="BBB-",'(a) souverains'!$B$16,
J15="BB+",'(a) souverains'!$B$17,
J15="BB",'(a) souverains'!$B$18,
J15="BB-",'(a) souverains'!$B$19,
J15="B+",'(a) souverains'!$B$20,
J15="B",'(a) souverains'!$B$21,
J15="B-",'(a) souverains'!$B$22,
J15="&lt; B-",'(a) souverains'!$B$23,
J15="Non noté",'(a) souverains'!$B$24,
TRUE,"Erreur de correspondance"
)</f>
        <v/>
      </c>
      <c r="L15" s="7" t="inlineStr">
        <is>
          <t xml:space="preserve">(f) clientèle de détail </t>
        </is>
      </c>
      <c r="M15" s="140">
        <f>IF(L15="","",IF(OR(H15="",H15="Non noté"),MAX(K15,100%),IF(LEFT(L15,3)="(a)",IF(OR(H15="AAA",H15="AA+",H15="AA",H15="AA-"),0%,IF(OR(H15="A+",H15="A",H15="A-"),20%,IF(OR(H15="BBB+",H15="BBB",H15="BBB-"),50%,IF(OR(H15="BB+",H15="BB",H15="BB-",H15="B+",H15="B",H15="B-"),100%,IF(H15="&lt; B-",150%,""))))),IF(LEFT(L15,3)="(b)",IF(OR(H15="AAA",H15="AA+",H15="AA",H15="AA-"),20%,IF(OR(H15="A+",H15="A",H15="A-"),50%,IF(OR(H15="BBB+",H15="BBB",H15="BBB-",H15="BB+",H15="BB",H15="BB-"),100%,150%))),IF(LEFT(L15,3)="(c)",0%,IF(LEFT(L15,3)="(d)",IF(OR(H15="AAA",H15="AA+",H15="AA",H15="AA-"),20%,IF(OR(H15="A+",H15="A",H15="A-",H15="BBB+",H15="BBB",H15="BBB-"),50%,IF(OR(H15="BB+",H15="BB",H15="BB-"),100%,150%))),IF(LEFT(L15,3)="(e)",IF(OR(H15="AAA",H15="AA+",H15="AA",H15="AA-",H15="A+",H15="A",H15="A-"),20%,IF(OR(H15="BBB+",H15="BBB",H15="BBB-"),50%,IF(OR(H15="BB+",H15="BB",H15="BB-",H15="B+",H15="B",H15="B-"),100%,IF(H15="&lt; B-",150%,"")))),IF(LEFT(L15,3)="(f)",75%,IF(LEFT(L15,3)="(g)",35%,IF(LEFT(L15,3)="(h)",100%,IF(LEFT(L15,3)="(i)",150%,IF(LEFT(L15,3)="(j)",150%,IF(LEFT(L15,3)="(k)",100%,"")))))))))))))</f>
        <v/>
      </c>
      <c r="N15" s="8" t="n">
        <v>20570000000</v>
      </c>
      <c r="O15" s="8" t="n">
        <v>3214355000</v>
      </c>
      <c r="P15" s="8">
        <f>MAX(0,N15-O15)</f>
        <v/>
      </c>
      <c r="Q15" s="8" t="inlineStr">
        <is>
          <t>EUR</t>
        </is>
      </c>
      <c r="R15" s="171" t="inlineStr">
        <is>
          <t>OUI</t>
        </is>
      </c>
      <c r="S15" s="171" t="inlineStr">
        <is>
          <t>non_financee</t>
        </is>
      </c>
      <c r="T15" s="10">
        <f>IF(R15="NON",IFERROR(O15,0),IF(S15="financee",MAX(0,IFERROR(CRM_financée!J15,0)-IFERROR(CRM_financée!L15,0)),IF(S15="non_financee",IFERROR("ND",0))))</f>
        <v/>
      </c>
      <c r="U15" s="171">
        <f>IF(R15="NON",IFERROR(P15,0),IF(S15="financee",MAX(0,IFERROR(CRM_financée!K15,0)-IFERROR(CRM_financée!L15,0)),IF(S15="non_financee",IFERROR(CRM_non_financee!K15,0))))</f>
        <v/>
      </c>
      <c r="V15" s="10">
        <f>IF(T15="ND","ND",IFERROR(Traitement_HB!D15,0))</f>
        <v/>
      </c>
      <c r="W15" s="11">
        <f>IF(T15="ND","ND",IFERROR(T15+V15,0))</f>
        <v/>
      </c>
      <c r="X15" s="171">
        <f>IF(T15="ND",CRM_non_financee!O15,IFERROR(T15*M15,0))</f>
        <v/>
      </c>
      <c r="Y15" s="171">
        <f>IF(T15="ND",(CRM_non_financee!M15*CRM_non_financee!F15+CRM_non_financee!N15*'Template données'!M15),IFERROR(V15*M15,0))</f>
        <v/>
      </c>
      <c r="Z15" s="12">
        <f>IFERROR(X15+Y15,0)</f>
        <v/>
      </c>
      <c r="AA15" s="141">
        <f>IFERROR(Z15,0)*8%</f>
        <v/>
      </c>
    </row>
    <row r="16" ht="24" customHeight="1" s="173">
      <c r="A16" s="7">
        <f>TODAY()</f>
        <v/>
      </c>
      <c r="B16" s="5" t="inlineStr">
        <is>
          <t>CP015</t>
        </is>
      </c>
      <c r="C16" s="7" t="n">
        <v>44083</v>
      </c>
      <c r="D16" s="7" t="n">
        <v>46639</v>
      </c>
      <c r="E16" s="6">
        <f>IFERROR(DATEDIF(C16,D16,"m"),"")</f>
        <v/>
      </c>
      <c r="F16" s="6">
        <f>IFERROR(DATEDIF(A16,D16,"m"), "")</f>
        <v/>
      </c>
      <c r="G16" s="6" t="inlineStr">
        <is>
          <t>Vega Industries</t>
        </is>
      </c>
      <c r="H16" s="7" t="inlineStr">
        <is>
          <t>B+</t>
        </is>
      </c>
      <c r="I16" s="132" t="inlineStr">
        <is>
          <t>Mali</t>
        </is>
      </c>
      <c r="J16" s="7" t="inlineStr">
        <is>
          <t>&lt; B-</t>
        </is>
      </c>
      <c r="K16" s="27">
        <f>_xlfn.IFS(
J16="AAA",'(a) souverains'!$B$7,
J16="AA+",'(a) souverains'!$B$8,
J16="AA",'(a) souverains'!$B$9,
J16="AA-",'(a) souverains'!$B$10,
J16="A+",'(a) souverains'!$B$11,
J16="A",'(a) souverains'!$B$12,
J16="A-",'(a) souverains'!$B$13,
J16="BBB+",'(a) souverains'!$B$14,
J16="BBB",'(a) souverains'!$B$15,
J16="BBB-",'(a) souverains'!$B$16,
J16="BB+",'(a) souverains'!$B$17,
J16="BB",'(a) souverains'!$B$18,
J16="BB-",'(a) souverains'!$B$19,
J16="B+",'(a) souverains'!$B$20,
J16="B",'(a) souverains'!$B$21,
J16="B-",'(a) souverains'!$B$22,
J16="&lt; B-",'(a) souverains'!$B$23,
J16="Non noté",'(a) souverains'!$B$24,
TRUE,"Erreur de correspondance"
)</f>
        <v/>
      </c>
      <c r="L16" s="7" t="inlineStr">
        <is>
          <t xml:space="preserve">(d) institutions financières </t>
        </is>
      </c>
      <c r="M16" s="140">
        <f>IF(L16="","",IF(OR(H16="",H16="Non noté"),MAX(K16,100%),IF(LEFT(L16,3)="(a)",IF(OR(H16="AAA",H16="AA+",H16="AA",H16="AA-"),0%,IF(OR(H16="A+",H16="A",H16="A-"),20%,IF(OR(H16="BBB+",H16="BBB",H16="BBB-"),50%,IF(OR(H16="BB+",H16="BB",H16="BB-",H16="B+",H16="B",H16="B-"),100%,IF(H16="&lt; B-",150%,""))))),IF(LEFT(L16,3)="(b)",IF(OR(H16="AAA",H16="AA+",H16="AA",H16="AA-"),20%,IF(OR(H16="A+",H16="A",H16="A-"),50%,IF(OR(H16="BBB+",H16="BBB",H16="BBB-",H16="BB+",H16="BB",H16="BB-"),100%,150%))),IF(LEFT(L16,3)="(c)",0%,IF(LEFT(L16,3)="(d)",IF(OR(H16="AAA",H16="AA+",H16="AA",H16="AA-"),20%,IF(OR(H16="A+",H16="A",H16="A-",H16="BBB+",H16="BBB",H16="BBB-"),50%,IF(OR(H16="BB+",H16="BB",H16="BB-"),100%,150%))),IF(LEFT(L16,3)="(e)",IF(OR(H16="AAA",H16="AA+",H16="AA",H16="AA-",H16="A+",H16="A",H16="A-"),20%,IF(OR(H16="BBB+",H16="BBB",H16="BBB-"),50%,IF(OR(H16="BB+",H16="BB",H16="BB-",H16="B+",H16="B",H16="B-"),100%,IF(H16="&lt; B-",150%,"")))),IF(LEFT(L16,3)="(f)",75%,IF(LEFT(L16,3)="(g)",35%,IF(LEFT(L16,3)="(h)",100%,IF(LEFT(L16,3)="(i)",150%,IF(LEFT(L16,3)="(j)",150%,IF(LEFT(L16,3)="(k)",100%,"")))))))))))))</f>
        <v/>
      </c>
      <c r="N16" s="8" t="n">
        <v>22200000000</v>
      </c>
      <c r="O16" s="8" t="n">
        <v>3471775000</v>
      </c>
      <c r="P16" s="8">
        <f>MAX(0,N16-O16)</f>
        <v/>
      </c>
      <c r="Q16" s="8" t="inlineStr">
        <is>
          <t>EUR</t>
        </is>
      </c>
      <c r="R16" s="171" t="inlineStr">
        <is>
          <t>NON</t>
        </is>
      </c>
      <c r="S16" s="171" t="inlineStr">
        <is>
          <t>Non éligible</t>
        </is>
      </c>
      <c r="T16" s="10">
        <f>IF(R16="NON",IFERROR(O16,0),IF(S16="financee",MAX(0,IFERROR(CRM_financée!J16,0)-IFERROR(CRM_financée!L16,0)),IF(S16="non_financee",IFERROR("ND",0))))</f>
        <v/>
      </c>
      <c r="U16" s="171">
        <f>IF(R16="NON",IFERROR(P16,0),IF(S16="financee",MAX(0,IFERROR(CRM_financée!K16,0)-IFERROR(CRM_financée!L16,0)),IF(S16="non_financee",IFERROR(CRM_non_financee!K16,0))))</f>
        <v/>
      </c>
      <c r="V16" s="10">
        <f>IF(T16="ND","ND",IFERROR(Traitement_HB!D16,0))</f>
        <v/>
      </c>
      <c r="W16" s="11">
        <f>IF(T16="ND","ND",IFERROR(T16+V16,0))</f>
        <v/>
      </c>
      <c r="X16" s="171">
        <f>IF(T16="ND",CRM_non_financee!O16,IFERROR(T16*M16,0))</f>
        <v/>
      </c>
      <c r="Y16" s="171">
        <f>IF(T16="ND",(CRM_non_financee!M16*CRM_non_financee!F16+CRM_non_financee!N16*'Template données'!M16),IFERROR(V16*M16,0))</f>
        <v/>
      </c>
      <c r="Z16" s="12">
        <f>IFERROR(X16+Y16,0)</f>
        <v/>
      </c>
      <c r="AA16" s="141">
        <f>IFERROR(Z16,0)*8%</f>
        <v/>
      </c>
    </row>
    <row r="17" ht="24" customHeight="1" s="173">
      <c r="A17" s="7">
        <f>TODAY()</f>
        <v/>
      </c>
      <c r="B17" s="5" t="inlineStr">
        <is>
          <t>CP016</t>
        </is>
      </c>
      <c r="C17" s="7" t="n">
        <v>44898</v>
      </c>
      <c r="D17" s="7" t="n">
        <v>46724</v>
      </c>
      <c r="E17" s="6">
        <f>IFERROR(DATEDIF(C17,D17,"m"),"")</f>
        <v/>
      </c>
      <c r="F17" s="6">
        <f>IFERROR(DATEDIF(A17,D17,"m"), "")</f>
        <v/>
      </c>
      <c r="G17" s="6" t="inlineStr">
        <is>
          <t>Titan Global</t>
        </is>
      </c>
      <c r="H17" s="7" t="inlineStr">
        <is>
          <t>BBB+</t>
        </is>
      </c>
      <c r="I17" s="7" t="inlineStr">
        <is>
          <t>Niger</t>
        </is>
      </c>
      <c r="J17" s="7" t="inlineStr">
        <is>
          <t>BB+</t>
        </is>
      </c>
      <c r="K17" s="27">
        <f>_xlfn.IFS(
J17="AAA",'(a) souverains'!$B$7,
J17="AA+",'(a) souverains'!$B$8,
J17="AA",'(a) souverains'!$B$9,
J17="AA-",'(a) souverains'!$B$10,
J17="A+",'(a) souverains'!$B$11,
J17="A",'(a) souverains'!$B$12,
J17="A-",'(a) souverains'!$B$13,
J17="BBB+",'(a) souverains'!$B$14,
J17="BBB",'(a) souverains'!$B$15,
J17="BBB-",'(a) souverains'!$B$16,
J17="BB+",'(a) souverains'!$B$17,
J17="BB",'(a) souverains'!$B$18,
J17="BB-",'(a) souverains'!$B$19,
J17="B+",'(a) souverains'!$B$20,
J17="B",'(a) souverains'!$B$21,
J17="B-",'(a) souverains'!$B$22,
J17="&lt; B-",'(a) souverains'!$B$23,
J17="Non noté",'(a) souverains'!$B$24,
TRUE,"Erreur de correspondance"
)</f>
        <v/>
      </c>
      <c r="L17" s="7" t="inlineStr">
        <is>
          <t>(j) créances à risque élevé</t>
        </is>
      </c>
      <c r="M17" s="140">
        <f>IF(L17="","",IF(OR(H17="",H17="Non noté"),MAX(K17,100%),IF(LEFT(L17,3)="(a)",IF(OR(H17="AAA",H17="AA+",H17="AA",H17="AA-"),0%,IF(OR(H17="A+",H17="A",H17="A-"),20%,IF(OR(H17="BBB+",H17="BBB",H17="BBB-"),50%,IF(OR(H17="BB+",H17="BB",H17="BB-",H17="B+",H17="B",H17="B-"),100%,IF(H17="&lt; B-",150%,""))))),IF(LEFT(L17,3)="(b)",IF(OR(H17="AAA",H17="AA+",H17="AA",H17="AA-"),20%,IF(OR(H17="A+",H17="A",H17="A-"),50%,IF(OR(H17="BBB+",H17="BBB",H17="BBB-",H17="BB+",H17="BB",H17="BB-"),100%,150%))),IF(LEFT(L17,3)="(c)",0%,IF(LEFT(L17,3)="(d)",IF(OR(H17="AAA",H17="AA+",H17="AA",H17="AA-"),20%,IF(OR(H17="A+",H17="A",H17="A-",H17="BBB+",H17="BBB",H17="BBB-"),50%,IF(OR(H17="BB+",H17="BB",H17="BB-"),100%,150%))),IF(LEFT(L17,3)="(e)",IF(OR(H17="AAA",H17="AA+",H17="AA",H17="AA-",H17="A+",H17="A",H17="A-"),20%,IF(OR(H17="BBB+",H17="BBB",H17="BBB-"),50%,IF(OR(H17="BB+",H17="BB",H17="BB-",H17="B+",H17="B",H17="B-"),100%,IF(H17="&lt; B-",150%,"")))),IF(LEFT(L17,3)="(f)",75%,IF(LEFT(L17,3)="(g)",35%,IF(LEFT(L17,3)="(h)",100%,IF(LEFT(L17,3)="(i)",150%,IF(LEFT(L17,3)="(j)",150%,IF(LEFT(L17,3)="(k)",100%,"")))))))))))))</f>
        <v/>
      </c>
      <c r="N17" s="8" t="n">
        <v>23830000000</v>
      </c>
      <c r="O17" s="8" t="n">
        <v>3729195000</v>
      </c>
      <c r="P17" s="8">
        <f>MAX(0,N17-O17)</f>
        <v/>
      </c>
      <c r="Q17" s="8" t="inlineStr">
        <is>
          <t>XOF</t>
        </is>
      </c>
      <c r="R17" s="171" t="inlineStr">
        <is>
          <t>OUI</t>
        </is>
      </c>
      <c r="S17" s="171" t="inlineStr">
        <is>
          <t>non_financee</t>
        </is>
      </c>
      <c r="T17" s="10">
        <f>IF(R17="NON",IFERROR(O17,0),IF(S17="financee",MAX(0,IFERROR(CRM_financée!J17,0)-IFERROR(CRM_financée!L17,0)),IF(S17="non_financee",IFERROR("ND",0))))</f>
        <v/>
      </c>
      <c r="U17" s="171">
        <f>IF(R17="NON",IFERROR(P17,0),IF(S17="financee",MAX(0,IFERROR(CRM_financée!K17,0)-IFERROR(CRM_financée!L17,0)),IF(S17="non_financee",IFERROR(CRM_non_financee!K17,0))))</f>
        <v/>
      </c>
      <c r="V17" s="10">
        <f>IF(T17="ND","ND",IFERROR(Traitement_HB!D17,0))</f>
        <v/>
      </c>
      <c r="W17" s="11">
        <f>IF(T17="ND","ND",IFERROR(T17+V17,0))</f>
        <v/>
      </c>
      <c r="X17" s="171">
        <f>IF(T17="ND",CRM_non_financee!O17,IFERROR(T17*M17,0))</f>
        <v/>
      </c>
      <c r="Y17" s="171">
        <f>IF(T17="ND",(CRM_non_financee!M17*CRM_non_financee!F17+CRM_non_financee!N17*'Template données'!M17),IFERROR(V17*M17,0))</f>
        <v/>
      </c>
      <c r="Z17" s="12">
        <f>IFERROR(X17+Y17,0)</f>
        <v/>
      </c>
      <c r="AA17" s="141">
        <f>IFERROR(Z17,0)*8%</f>
        <v/>
      </c>
    </row>
    <row r="18" ht="24" customHeight="1" s="173">
      <c r="A18" s="7">
        <f>TODAY()</f>
        <v/>
      </c>
      <c r="B18" s="5" t="inlineStr">
        <is>
          <t>CP017</t>
        </is>
      </c>
      <c r="C18" s="7" t="n">
        <v>45715</v>
      </c>
      <c r="D18" s="7" t="n">
        <v>49367</v>
      </c>
      <c r="E18" s="6">
        <f>IFERROR(DATEDIF(C18,D18,"m"),"")</f>
        <v/>
      </c>
      <c r="F18" s="6">
        <f>IFERROR(DATEDIF(A18,D18,"m"), "")</f>
        <v/>
      </c>
      <c r="G18" s="156" t="inlineStr">
        <is>
          <t>Neptune Conseil</t>
        </is>
      </c>
      <c r="H18" s="7" t="inlineStr">
        <is>
          <t>B-</t>
        </is>
      </c>
      <c r="I18" s="7" t="inlineStr">
        <is>
          <t>Togo</t>
        </is>
      </c>
      <c r="J18" s="7" t="inlineStr">
        <is>
          <t>A</t>
        </is>
      </c>
      <c r="K18" s="27">
        <f>_xlfn.IFS(
J18="AAA",'(a) souverains'!$B$7,
J18="AA+",'(a) souverains'!$B$8,
J18="AA",'(a) souverains'!$B$9,
J18="AA-",'(a) souverains'!$B$10,
J18="A+",'(a) souverains'!$B$11,
J18="A",'(a) souverains'!$B$12,
J18="A-",'(a) souverains'!$B$13,
J18="BBB+",'(a) souverains'!$B$14,
J18="BBB",'(a) souverains'!$B$15,
J18="BBB-",'(a) souverains'!$B$16,
J18="BB+",'(a) souverains'!$B$17,
J18="BB",'(a) souverains'!$B$18,
J18="BB-",'(a) souverains'!$B$19,
J18="B+",'(a) souverains'!$B$20,
J18="B",'(a) souverains'!$B$21,
J18="B-",'(a) souverains'!$B$22,
J18="&lt; B-",'(a) souverains'!$B$23,
J18="Non noté",'(a) souverains'!$B$24,
TRUE,"Erreur de correspondance"
)</f>
        <v/>
      </c>
      <c r="L18" s="7" t="inlineStr">
        <is>
          <t>(e) entreprises</t>
        </is>
      </c>
      <c r="M18" s="140">
        <f>IF(L18="","",IF(OR(H18="",H18="Non noté"),MAX(K18,100%),IF(LEFT(L18,3)="(a)",IF(OR(H18="AAA",H18="AA+",H18="AA",H18="AA-"),0%,IF(OR(H18="A+",H18="A",H18="A-"),20%,IF(OR(H18="BBB+",H18="BBB",H18="BBB-"),50%,IF(OR(H18="BB+",H18="BB",H18="BB-",H18="B+",H18="B",H18="B-"),100%,IF(H18="&lt; B-",150%,""))))),IF(LEFT(L18,3)="(b)",IF(OR(H18="AAA",H18="AA+",H18="AA",H18="AA-"),20%,IF(OR(H18="A+",H18="A",H18="A-"),50%,IF(OR(H18="BBB+",H18="BBB",H18="BBB-",H18="BB+",H18="BB",H18="BB-"),100%,150%))),IF(LEFT(L18,3)="(c)",0%,IF(LEFT(L18,3)="(d)",IF(OR(H18="AAA",H18="AA+",H18="AA",H18="AA-"),20%,IF(OR(H18="A+",H18="A",H18="A-",H18="BBB+",H18="BBB",H18="BBB-"),50%,IF(OR(H18="BB+",H18="BB",H18="BB-"),100%,150%))),IF(LEFT(L18,3)="(e)",IF(OR(H18="AAA",H18="AA+",H18="AA",H18="AA-",H18="A+",H18="A",H18="A-"),20%,IF(OR(H18="BBB+",H18="BBB",H18="BBB-"),50%,IF(OR(H18="BB+",H18="BB",H18="BB-",H18="B+",H18="B",H18="B-"),100%,IF(H18="&lt; B-",150%,"")))),IF(LEFT(L18,3)="(f)",75%,IF(LEFT(L18,3)="(g)",35%,IF(LEFT(L18,3)="(h)",100%,IF(LEFT(L18,3)="(i)",150%,IF(LEFT(L18,3)="(j)",150%,IF(LEFT(L18,3)="(k)",100%,"")))))))))))))</f>
        <v/>
      </c>
      <c r="N18" s="8" t="n">
        <v>25460000000</v>
      </c>
      <c r="O18" s="8" t="n">
        <v>3986615000</v>
      </c>
      <c r="P18" s="8">
        <f>MAX(0,N18-O18)</f>
        <v/>
      </c>
      <c r="Q18" s="8" t="inlineStr">
        <is>
          <t>USD</t>
        </is>
      </c>
      <c r="R18" s="171" t="inlineStr">
        <is>
          <t>OUI</t>
        </is>
      </c>
      <c r="S18" s="171" t="inlineStr">
        <is>
          <t>financee</t>
        </is>
      </c>
      <c r="T18" s="10">
        <f>IF(R18="NON",IFERROR(O18,0),IF(S18="financee",MAX(0,IFERROR(CRM_financée!J18,0)-IFERROR(CRM_financée!L18,0)),IF(S18="non_financee",IFERROR("ND",0))))</f>
        <v/>
      </c>
      <c r="U18" s="171">
        <f>IF(R18="NON",IFERROR(P18,0),IF(S18="financee",MAX(0,IFERROR(CRM_financée!K18,0)-IFERROR(CRM_financée!L18,0)),IF(S18="non_financee",IFERROR(CRM_non_financee!K18,0))))</f>
        <v/>
      </c>
      <c r="V18" s="10">
        <f>IF(T18="ND","ND",IFERROR(Traitement_HB!D18,0))</f>
        <v/>
      </c>
      <c r="W18" s="11">
        <f>IF(T18="ND","ND",IFERROR(T18+V18,0))</f>
        <v/>
      </c>
      <c r="X18" s="171">
        <f>IF(T18="ND",CRM_non_financee!O18,IFERROR(T18*M18,0))</f>
        <v/>
      </c>
      <c r="Y18" s="171">
        <f>IF(T18="ND",(CRM_non_financee!M18*CRM_non_financee!F18+CRM_non_financee!N18*'Template données'!M18),IFERROR(V18*M18,0))</f>
        <v/>
      </c>
      <c r="Z18" s="12">
        <f>IFERROR(X18+Y18,0)</f>
        <v/>
      </c>
      <c r="AA18" s="141">
        <f>IFERROR(Z18,0)*8%</f>
        <v/>
      </c>
    </row>
    <row r="19" ht="24" customHeight="1" s="173">
      <c r="A19" s="7">
        <f>TODAY()</f>
        <v/>
      </c>
      <c r="B19" s="5" t="inlineStr">
        <is>
          <t>CP018</t>
        </is>
      </c>
      <c r="C19" s="7" t="n">
        <v>45715</v>
      </c>
      <c r="D19" s="7" t="n">
        <v>49367</v>
      </c>
      <c r="E19" s="6">
        <f>IFERROR(DATEDIF(C19,D19,"m"),"")</f>
        <v/>
      </c>
      <c r="F19" s="6">
        <f>IFERROR(DATEDIF(A19,D19,"m"), "")</f>
        <v/>
      </c>
      <c r="G19" s="6" t="inlineStr">
        <is>
          <t>Solaris Développement</t>
        </is>
      </c>
      <c r="H19" s="7" t="inlineStr">
        <is>
          <t>Non noté</t>
        </is>
      </c>
      <c r="I19" s="7" t="inlineStr">
        <is>
          <t>Sénégal</t>
        </is>
      </c>
      <c r="J19" s="7" t="inlineStr">
        <is>
          <t>B+</t>
        </is>
      </c>
      <c r="K19" s="27">
        <f>_xlfn.IFS(
J19="AAA",'(a) souverains'!$B$7,
J19="AA+",'(a) souverains'!$B$8,
J19="AA",'(a) souverains'!$B$9,
J19="AA-",'(a) souverains'!$B$10,
J19="A+",'(a) souverains'!$B$11,
J19="A",'(a) souverains'!$B$12,
J19="A-",'(a) souverains'!$B$13,
J19="BBB+",'(a) souverains'!$B$14,
J19="BBB",'(a) souverains'!$B$15,
J19="BBB-",'(a) souverains'!$B$16,
J19="BB+",'(a) souverains'!$B$17,
J19="BB",'(a) souverains'!$B$18,
J19="BB-",'(a) souverains'!$B$19,
J19="B+",'(a) souverains'!$B$20,
J19="B",'(a) souverains'!$B$21,
J19="B-",'(a) souverains'!$B$22,
J19="&lt; B-",'(a) souverains'!$B$23,
J19="Non noté",'(a) souverains'!$B$24,
TRUE,"Erreur de correspondance"
)</f>
        <v/>
      </c>
      <c r="L19" s="7" t="inlineStr">
        <is>
          <t>(c) Expositions sur les BMD</t>
        </is>
      </c>
      <c r="M19" s="140">
        <f>IF(L19="","",IF(OR(H19="",H19="Non noté"),MAX(K19,100%),IF(LEFT(L19,3)="(a)",IF(OR(H19="AAA",H19="AA+",H19="AA",H19="AA-"),0%,IF(OR(H19="A+",H19="A",H19="A-"),20%,IF(OR(H19="BBB+",H19="BBB",H19="BBB-"),50%,IF(OR(H19="BB+",H19="BB",H19="BB-",H19="B+",H19="B",H19="B-"),100%,IF(H19="&lt; B-",150%,""))))),IF(LEFT(L19,3)="(b)",IF(OR(H19="AAA",H19="AA+",H19="AA",H19="AA-"),20%,IF(OR(H19="A+",H19="A",H19="A-"),50%,IF(OR(H19="BBB+",H19="BBB",H19="BBB-",H19="BB+",H19="BB",H19="BB-"),100%,150%))),IF(LEFT(L19,3)="(c)",0%,IF(LEFT(L19,3)="(d)",IF(OR(H19="AAA",H19="AA+",H19="AA",H19="AA-"),20%,IF(OR(H19="A+",H19="A",H19="A-",H19="BBB+",H19="BBB",H19="BBB-"),50%,IF(OR(H19="BB+",H19="BB",H19="BB-"),100%,150%))),IF(LEFT(L19,3)="(e)",IF(OR(H19="AAA",H19="AA+",H19="AA",H19="AA-",H19="A+",H19="A",H19="A-"),20%,IF(OR(H19="BBB+",H19="BBB",H19="BBB-"),50%,IF(OR(H19="BB+",H19="BB",H19="BB-",H19="B+",H19="B",H19="B-"),100%,IF(H19="&lt; B-",150%,"")))),IF(LEFT(L19,3)="(f)",75%,IF(LEFT(L19,3)="(g)",35%,IF(LEFT(L19,3)="(h)",100%,IF(LEFT(L19,3)="(i)",150%,IF(LEFT(L19,3)="(j)",150%,IF(LEFT(L19,3)="(k)",100%,"")))))))))))))</f>
        <v/>
      </c>
      <c r="N19" s="8" t="n">
        <v>27090000000</v>
      </c>
      <c r="O19" s="8" t="n">
        <v>4244035000</v>
      </c>
      <c r="P19" s="8">
        <f>MAX(0,N19-O19)</f>
        <v/>
      </c>
      <c r="Q19" s="8" t="inlineStr">
        <is>
          <t>XOF</t>
        </is>
      </c>
      <c r="R19" s="171" t="inlineStr">
        <is>
          <t>OUI</t>
        </is>
      </c>
      <c r="S19" s="171" t="inlineStr">
        <is>
          <t>financee</t>
        </is>
      </c>
      <c r="T19" s="10">
        <f>IF(R19="NON",IFERROR(O19,0),IF(S19="financee",MAX(0,IFERROR(CRM_financée!J19,0)-IFERROR(CRM_financée!L19,0)),IF(S19="non_financee",IFERROR("ND",0))))</f>
        <v/>
      </c>
      <c r="U19" s="171">
        <f>IF(R19="NON",IFERROR(P19,0),IF(S19="financee",MAX(0,IFERROR(CRM_financée!K19,0)-IFERROR(CRM_financée!L19,0)),IF(S19="non_financee",IFERROR(CRM_non_financee!K19,0))))</f>
        <v/>
      </c>
      <c r="V19" s="10">
        <f>IF(T19="ND","ND",IFERROR(Traitement_HB!D19,0))</f>
        <v/>
      </c>
      <c r="W19" s="11">
        <f>IF(T19="ND","ND",IFERROR(T19+V19,0))</f>
        <v/>
      </c>
      <c r="X19" s="171">
        <f>IF(T19="ND",CRM_non_financee!O19,IFERROR(T19*M19,0))</f>
        <v/>
      </c>
      <c r="Y19" s="171">
        <f>IF(T19="ND",(CRM_non_financee!M19*CRM_non_financee!F19+CRM_non_financee!N19*'Template données'!M19),IFERROR(V19*M19,0))</f>
        <v/>
      </c>
      <c r="Z19" s="12">
        <f>IFERROR(X19+Y19,0)</f>
        <v/>
      </c>
      <c r="AA19" s="141">
        <f>IFERROR(Z19,0)*8%</f>
        <v/>
      </c>
    </row>
  </sheetData>
  <dataValidations count="13">
    <dataValidation sqref="R2:R19" showDropDown="0" showInputMessage="1" showErrorMessage="1" allowBlank="1" type="list">
      <formula1>"OUI, NON"</formula1>
    </dataValidation>
    <dataValidation sqref="Q2:Q19" showDropDown="0" showInputMessage="1" showErrorMessage="1" allowBlank="1" type="list">
      <formula1>"XOF,EUR, USD"</formula1>
    </dataValidation>
    <dataValidation sqref="R2:R19" showDropDown="0" showInputMessage="0" showErrorMessage="0" allowBlank="0" type="list">
      <formula1>"OUI,NON"</formula1>
    </dataValidation>
    <dataValidation sqref="S2:S19" showDropDown="0" showInputMessage="1" showErrorMessage="1" allowBlank="1" type="list">
      <formula1>IF($R2="OUI",LISTCRM,NonEligible)</formula1>
    </dataValidation>
    <dataValidation sqref="AB2:AB2001" showDropDown="0" showInputMessage="0" showErrorMessage="1" allowBlank="1" errorTitle="Valeur non reconnue" error="Choisissez une valeur dans la liste deroulante pour que le calcul prudentiel s'applique a cette ligne." type="list">
      <formula1>"Risque faible,Risque mineur,Risque moyen,Risque élevé,Risque très élevé"</formula1>
    </dataValidation>
    <dataValidation sqref="AG2:AG2001" showDropDown="0" showInputMessage="0" showErrorMessage="1" allowBlank="1" errorTitle="Valeur non reconnue" error="Choisissez une valeur dans la liste deroulante pour que le calcul prudentiel s'applique a cette ligne." type="list">
      <formula1>"Expositions sur États de l’UEMOA et démembrements libellées et financées en FCFA,Expositions sur BCEAO libellées et financées en FCFA,UEMOA,CEDEAO,UA,UE,ONU,BRI,FMI,BCE,FGD-UMOA,Aucun de ces cas"</formula1>
    </dataValidation>
    <dataValidation sqref="AJ2:AJ2001" showDropDown="0" showInputMessage="0" showErrorMessage="1" allowBlank="1" errorTitle="Valeur non reconnue" error="Choisissez une valeur dans la liste deroulante pour que le calcul prudentiel s'applique a cette ligne." type="list">
      <formula1>"0,1,2,3,4,5,6,7"</formula1>
    </dataValidation>
    <dataValidation sqref="AQ2:AQ2001" showDropDown="0" showInputMessage="0" showErrorMessage="1" allowBlank="1" errorTitle="Valeur non reconnue" error="Choisissez une valeur dans la liste deroulante pour que le calcul prudentiel s'applique a cette ligne." type="list">
      <formula1>"equivalent_umoa_rules,weak_prudential_case,eligible_categories_case"</formula1>
    </dataValidation>
    <dataValidation sqref="AR2:AR2001" showDropDown="0" showInputMessage="0" showErrorMessage="1" allowBlank="1" errorTitle="Valeur non reconnue" error="Choisissez une valeur dans la liste deroulante pour que le calcul prudentiel s'applique a cette ligne." type="list">
      <formula1>'Listes (completees)'!$A$3:$A$15</formula1>
    </dataValidation>
    <dataValidation sqref="AV2:AV2001" showDropDown="0" showInputMessage="0" showErrorMessage="1" allowBlank="1" errorTitle="Valeur non reconnue" error="Choisissez une valeur dans la liste deroulante pour que le calcul prudentiel s'applique a cette ligne." type="list">
      <formula1>"0.2,0.35,0.5,0.75,1.0,1.5,2.5"</formula1>
    </dataValidation>
    <dataValidation sqref="BC2:BC2001" showDropDown="0" showInputMessage="0" showErrorMessage="1" allowBlank="1" errorTitle="Valeur non reconnue" error="Choisissez une valeur dans la liste deroulante pour que le calcul prudentiel s'applique a cette ligne." type="list">
      <formula1>'Listes (completees)'!$C$3:$C$23</formula1>
    </dataValidation>
    <dataValidation sqref="BF2:BF2001" showDropDown="0" showInputMessage="0" showErrorMessage="1" allowBlank="1" errorTitle="Valeur non reconnue" error="Choisissez une valeur dans la liste deroulante pour que le calcul prudentiel s'applique a cette ligne." type="list">
      <formula1>"Controle de droit,Controle de fait,Dependance economique"</formula1>
    </dataValidation>
    <dataValidation sqref="BG2:BG2001" showDropDown="0" showInputMessage="0" showErrorMessage="1" allowBlank="1" errorTitle="Valeur non reconnue" error="Choisissez une valeur dans la liste deroulante pour que le calcul prudentiel s'applique a cette ligne." type="list">
      <formula1>"Actionnaire detenant au moins 10 %,Membre de l'organe deliberant,Membre de l'organe executif,Commissaire aux comptes,Personnel de direction,Cadre moyen ou superieur,Personnel d'execution,Autre partie liee"</formula1>
    </dataValidation>
  </dataValidations>
  <pageMargins left="0.7" right="0.7" top="0.75" bottom="0.75" header="0.3" footer="0.3"/>
</worksheet>
</file>

<file path=xl/worksheets/sheet2.xml><?xml version="1.0" encoding="utf-8"?>
<worksheet xmlns="http://schemas.openxmlformats.org/spreadsheetml/2006/main">
  <sheetPr codeName="Feuil5">
    <tabColor rgb="FFFFFF00"/>
    <outlinePr summaryBelow="1" summaryRight="1"/>
    <pageSetUpPr/>
  </sheetPr>
  <dimension ref="A1:AE19"/>
  <sheetViews>
    <sheetView topLeftCell="E26" workbookViewId="0">
      <selection activeCell="J18" sqref="J18"/>
    </sheetView>
  </sheetViews>
  <sheetFormatPr baseColWidth="10" defaultRowHeight="15.5"/>
  <cols>
    <col width="15.1796875" customWidth="1" style="146" min="1" max="1"/>
    <col width="29.1796875" customWidth="1" style="147" min="2" max="2"/>
    <col width="28.81640625" customWidth="1" style="147" min="3" max="3"/>
    <col width="26.08984375" customWidth="1" style="147" min="4" max="4"/>
    <col width="16.90625" customWidth="1" style="147" min="5" max="5"/>
    <col width="14.08984375" customWidth="1" style="147" min="6" max="6"/>
    <col width="10.54296875" customWidth="1" style="147" min="7" max="7"/>
    <col width="10.90625" customWidth="1" style="147" min="8" max="8"/>
    <col width="13.26953125" customWidth="1" style="147" min="9" max="9"/>
    <col width="16" customWidth="1" style="147" min="10" max="11"/>
    <col width="18.7265625" customWidth="1" style="147" min="12" max="12"/>
    <col width="10.90625" customWidth="1" style="147" min="13" max="16384"/>
    <col width="21" customWidth="1" style="173" min="28" max="28"/>
    <col width="19" customWidth="1" style="173" min="29" max="29"/>
    <col width="38" customWidth="1" style="173" min="30" max="30"/>
    <col width="20" customWidth="1" style="173" min="31" max="31"/>
  </cols>
  <sheetData>
    <row r="1" s="173">
      <c r="A1" s="23" t="inlineStr">
        <is>
          <t>ID_Exposition</t>
        </is>
      </c>
      <c r="B1" s="167" t="inlineStr">
        <is>
          <t>Valeur_Collatéral</t>
        </is>
      </c>
      <c r="C1" s="24" t="inlineStr">
        <is>
          <t>Type_emetteur</t>
        </is>
      </c>
      <c r="D1" s="24" t="inlineStr">
        <is>
          <t>Notation</t>
        </is>
      </c>
      <c r="E1" s="24" t="inlineStr">
        <is>
          <t>Bloc</t>
        </is>
      </c>
      <c r="F1" s="24" t="inlineStr">
        <is>
          <t>Maturite</t>
        </is>
      </c>
      <c r="G1" s="24" t="inlineStr">
        <is>
          <t>HE</t>
        </is>
      </c>
      <c r="H1" s="24" t="inlineStr">
        <is>
          <t>HC</t>
        </is>
      </c>
      <c r="I1" s="24" t="inlineStr">
        <is>
          <t>Hfx</t>
        </is>
      </c>
      <c r="J1" s="24" t="inlineStr">
        <is>
          <t>Eva_EB</t>
        </is>
      </c>
      <c r="K1" s="24" t="inlineStr">
        <is>
          <t>Eva_HB</t>
        </is>
      </c>
      <c r="L1" s="24" t="inlineStr">
        <is>
          <t>Cva</t>
        </is>
      </c>
      <c r="M1" s="42" t="n"/>
      <c r="N1" s="42" t="n"/>
      <c r="O1" s="42" t="n"/>
      <c r="P1" s="42" t="n"/>
      <c r="Q1" s="42" t="n"/>
      <c r="R1" s="42" t="n"/>
      <c r="S1" s="42" t="n"/>
      <c r="T1" s="42" t="n"/>
      <c r="U1" s="42" t="n"/>
      <c r="V1" s="42" t="n"/>
      <c r="AB1" s="174" t="inlineStr">
        <is>
          <t>Devise_Collatéral</t>
        </is>
      </c>
      <c r="AC1" s="174" t="inlineStr">
        <is>
          <t>Type_Collatéral</t>
        </is>
      </c>
      <c r="AD1" s="174" t="inlineStr">
        <is>
          <t>Obligation_convertible_indice_principal</t>
        </is>
      </c>
      <c r="AE1" s="174" t="inlineStr">
        <is>
          <t>Decote_OPCVM_max</t>
        </is>
      </c>
    </row>
    <row r="2" s="173">
      <c r="A2" s="5" t="inlineStr">
        <is>
          <t>CP001</t>
        </is>
      </c>
      <c r="B2" s="28" t="n">
        <v>850000</v>
      </c>
      <c r="C2" s="28" t="inlineStr">
        <is>
          <t>souverain</t>
        </is>
      </c>
      <c r="D2" s="28" t="inlineStr">
        <is>
          <t>garanti_brvm</t>
        </is>
      </c>
      <c r="E2" s="28">
        <f>IF(OR(D2="AAA",D2="AA+",D2="AA",D2="AA-",D2="non_note_etat_umoa"),"AAA_AA",IF(OR(D2="A+",D2="A",D2="A-",D2="BBB+",D2="BBB",D2="BBB-",D2="garanti_brvm",D2="bancaire_non_note"),"A_BBB",IF(OR(D2="BB+",D2="BB",D2="BB-"),"BB",IF(D2="actions_brvm","ACTION_BRVM",IF(D2="autres_actions","AUTRE_ACTION",IF(D2="opcvm","OPCVM",IF(D2="liquidite","LIQUIDITE","")))))))</f>
        <v/>
      </c>
      <c r="F2" s="28" t="inlineStr">
        <is>
          <t>3-5 ans</t>
        </is>
      </c>
      <c r="G2" s="26">
        <f>IF(E2="AAA_AA",IF(F2="&lt;=1 an",IF(C2="souverain",0.5%,1%),IF(F2="1-3 ans",IF(C2="souverain",2%,3%),IF(F2="3-5 ans",IF(C2="souverain",2%,4%),IF(F2="5-10 ans",IF(C2="souverain",4%,6%),IF(F2="&gt;10 ans",IF(C2="souverain",4%,12%),""))))),IF(E2="A_BBB",IF(F2="&lt;=1 an",IF(C2="souverain",1%,2%),IF(F2="1-3 ans",IF(C2="souverain",3%,4%),IF(F2="3-5 ans",IF(C2="souverain",3%,6%),IF(F2="5-10 ans",IF(C2="souverain",6%,12%),IF(F2="&gt;10 ans",IF(C2="souverain",6%,20%),""))))),IF(E2="BB",IF(C2="souverain",15%,0%),IF(E2="ACTION_BRVM",20%,IF(E2="AUTRE_ACTION",30%,IF(E2="OPCVM","MAX",IF(E2="LIQUIDITE",0%,"")))))))</f>
        <v/>
      </c>
      <c r="H2" s="26">
        <f>IF(E2="AAA_AA",IF(F2="&lt;=1 an",IF(C2="souverain",0.5%,1%),IF(F2="1-3 ans",IF(C2="souverain",2%,3%),IF(F2="3-5 ans",IF(C2="souverain",2%,4%),IF(F2="5-10 ans",IF(C2="souverain",4%,6%),IF(F2="&gt;10 ans",IF(C2="souverain",4%,12%),""))))),IF(E2="A_BBB",IF(F2="&lt;=1 an",IF(C2="souverain",1%,2%),IF(F2="1-3 ans",IF(C2="souverain",3%,4%),IF(F2="3-5 ans",IF(C2="souverain",3%,6%),IF(F2="5-10 ans",IF(C2="souverain",6%,12%),IF(F2="&gt;10 ans",IF(C2="souverain",6%,20%),""))))),IF(E2="BB",IF(C2="souverain",15%,0%),IF(E2="ACTION_BRVM",20%,IF(E2="AUTRE_ACTION",30%,IF(E2="OPCVM","MAX",IF(E2="LIQUIDITE",0%,"")))))))</f>
        <v/>
      </c>
      <c r="I2" s="26">
        <f>IF('Template données'!Q2="EUR",0%,IF('Template données'!Q2="XOF",0%,8%))</f>
        <v/>
      </c>
      <c r="J2" s="145">
        <f>IFERROR('Template données'!O2,0)*(1-IFERROR(G2,0))</f>
        <v/>
      </c>
      <c r="K2" s="145">
        <f>IFERROR('Template données'!P2,0)*(1-IFERROR(G2,0))</f>
        <v/>
      </c>
      <c r="L2" s="145">
        <f>IFERROR(B2,0)*(1-IFERROR(H2,0)-IFERROR(I2,0))</f>
        <v/>
      </c>
    </row>
    <row r="3" s="173">
      <c r="A3" s="5" t="inlineStr">
        <is>
          <t>CP002</t>
        </is>
      </c>
      <c r="B3" s="28" t="n">
        <v>30000</v>
      </c>
      <c r="C3" s="28" t="inlineStr">
        <is>
          <t>souverain</t>
        </is>
      </c>
      <c r="D3" s="28" t="inlineStr">
        <is>
          <t>garanti_brvm</t>
        </is>
      </c>
      <c r="E3" s="28">
        <f>IF(OR(D3="AAA",D3="AA+",D3="AA",D3="AA-",D3="non_note_etat_umoa"),"AAA_AA",IF(OR(D3="A+",D3="A",D3="A-",D3="BBB+",D3="BBB",D3="BBB-",D3="garanti_brvm",D3="bancaire_non_note"),"A_BBB",IF(OR(D3="BB+",D3="BB",D3="BB-"),"BB",IF(D3="actions_brvm","ACTION_BRVM",IF(D3="autres_actions","AUTRE_ACTION",IF(D3="opcvm","OPCVM",IF(D3="liquidite","LIQUIDITE","")))))))</f>
        <v/>
      </c>
      <c r="F3" s="28" t="inlineStr">
        <is>
          <t>&gt;10 ans</t>
        </is>
      </c>
      <c r="G3" s="26">
        <f>IF(E3="AAA_AA",IF(F3="&lt;=1 an",IF(C3="souverain",0.5%,1%),IF(F3="1-3 ans",IF(C3="souverain",2%,3%),IF(F3="3-5 ans",IF(C3="souverain",2%,4%),IF(F3="5-10 ans",IF(C3="souverain",4%,6%),IF(F3="&gt;10 ans",IF(C3="souverain",4%,12%),""))))),IF(E3="A_BBB",IF(F3="&lt;=1 an",IF(C3="souverain",1%,2%),IF(F3="1-3 ans",IF(C3="souverain",3%,4%),IF(F3="3-5 ans",IF(C3="souverain",3%,6%),IF(F3="5-10 ans",IF(C3="souverain",6%,12%),IF(F3="&gt;10 ans",IF(C3="souverain",6%,20%),""))))),IF(E3="BB",IF(C3="souverain",15%,0%),IF(E3="ACTION_BRVM",20%,IF(E3="AUTRE_ACTION",30%,IF(E3="OPCVM","MAX",IF(E3="LIQUIDITE",0%,"")))))))</f>
        <v/>
      </c>
      <c r="H3" s="26">
        <f>IF(E3="AAA_AA",IF(F3="&lt;=1 an",IF(C3="souverain",0.5%,1%),IF(F3="1-3 ans",IF(C3="souverain",2%,3%),IF(F3="3-5 ans",IF(C3="souverain",2%,4%),IF(F3="5-10 ans",IF(C3="souverain",4%,6%),IF(F3="&gt;10 ans",IF(C3="souverain",4%,12%),""))))),IF(E3="A_BBB",IF(F3="&lt;=1 an",IF(C3="souverain",1%,2%),IF(F3="1-3 ans",IF(C3="souverain",3%,4%),IF(F3="3-5 ans",IF(C3="souverain",3%,6%),IF(F3="5-10 ans",IF(C3="souverain",6%,12%),IF(F3="&gt;10 ans",IF(C3="souverain",6%,20%),""))))),IF(E3="BB",IF(C3="souverain",15%,0%),IF(E3="ACTION_BRVM",20%,IF(E3="AUTRE_ACTION",30%,IF(E3="OPCVM","MAX",IF(E3="LIQUIDITE",0%,"")))))))</f>
        <v/>
      </c>
      <c r="I3" s="26">
        <f>IF('Template données'!Q3="EUR",0%,IF('Template données'!Q3="XOF",0%,8%))</f>
        <v/>
      </c>
      <c r="J3" s="145">
        <f>IFERROR('Template données'!O3,0)*(1-IFERROR(G3,0))</f>
        <v/>
      </c>
      <c r="K3" s="145">
        <f>IFERROR('Template données'!P3,0)*(1-IFERROR(G3,0))</f>
        <v/>
      </c>
      <c r="L3" s="145">
        <f>IFERROR(B3,0)*(1-IFERROR(H3,0)-IFERROR(I3,0))</f>
        <v/>
      </c>
    </row>
    <row r="4" s="173">
      <c r="A4" s="5" t="inlineStr">
        <is>
          <t>CP003</t>
        </is>
      </c>
      <c r="B4" s="28" t="n">
        <v>13720</v>
      </c>
      <c r="C4" s="28" t="inlineStr">
        <is>
          <t>souverain</t>
        </is>
      </c>
      <c r="D4" s="28" t="inlineStr">
        <is>
          <t>autres_actions</t>
        </is>
      </c>
      <c r="E4" s="28">
        <f>IF(OR(D4="AAA",D4="AA+",D4="AA",D4="AA-",D4="non_note_etat_umoa"),"AAA_AA",IF(OR(D4="A+",D4="A",D4="A-",D4="BBB+",D4="BBB",D4="BBB-",D4="garanti_brvm",D4="bancaire_non_note"),"A_BBB",IF(OR(D4="BB+",D4="BB",D4="BB-"),"BB",IF(D4="actions_brvm","ACTION_BRVM",IF(D4="autres_actions","AUTRE_ACTION",IF(D4="opcvm","OPCVM",IF(D4="liquidite","LIQUIDITE","")))))))</f>
        <v/>
      </c>
      <c r="F4" s="28" t="inlineStr">
        <is>
          <t>5-10 ans</t>
        </is>
      </c>
      <c r="G4" s="26">
        <f>IF(E4="AAA_AA",IF(F4="&lt;=1 an",IF(C4="souverain",0.5%,1%),IF(F4="1-3 ans",IF(C4="souverain",2%,3%),IF(F4="3-5 ans",IF(C4="souverain",2%,4%),IF(F4="5-10 ans",IF(C4="souverain",4%,6%),IF(F4="&gt;10 ans",IF(C4="souverain",4%,12%),""))))),IF(E4="A_BBB",IF(F4="&lt;=1 an",IF(C4="souverain",1%,2%),IF(F4="1-3 ans",IF(C4="souverain",3%,4%),IF(F4="3-5 ans",IF(C4="souverain",3%,6%),IF(F4="5-10 ans",IF(C4="souverain",6%,12%),IF(F4="&gt;10 ans",IF(C4="souverain",6%,20%),""))))),IF(E4="BB",IF(C4="souverain",15%,0%),IF(E4="ACTION_BRVM",20%,IF(E4="AUTRE_ACTION",30%,IF(E4="OPCVM","MAX",IF(E4="LIQUIDITE",0%,"")))))))</f>
        <v/>
      </c>
      <c r="H4" s="26">
        <f>IF(E4="AAA_AA",IF(F4="&lt;=1 an",IF(C4="souverain",0.5%,1%),IF(F4="1-3 ans",IF(C4="souverain",2%,3%),IF(F4="3-5 ans",IF(C4="souverain",2%,4%),IF(F4="5-10 ans",IF(C4="souverain",4%,6%),IF(F4="&gt;10 ans",IF(C4="souverain",4%,12%),""))))),IF(E4="A_BBB",IF(F4="&lt;=1 an",IF(C4="souverain",1%,2%),IF(F4="1-3 ans",IF(C4="souverain",3%,4%),IF(F4="3-5 ans",IF(C4="souverain",3%,6%),IF(F4="5-10 ans",IF(C4="souverain",6%,12%),IF(F4="&gt;10 ans",IF(C4="souverain",6%,20%),""))))),IF(E4="BB",IF(C4="souverain",15%,0%),IF(E4="ACTION_BRVM",20%,IF(E4="AUTRE_ACTION",30%,IF(E4="OPCVM","MAX",IF(E4="LIQUIDITE",0%,"")))))))</f>
        <v/>
      </c>
      <c r="I4" s="26">
        <f>IF('Template données'!Q4="EUR",0%,IF('Template données'!Q4="XOF",0%,8%))</f>
        <v/>
      </c>
      <c r="J4" s="145">
        <f>IFERROR('Template données'!O4,0)*(1-IFERROR(G4,0))</f>
        <v/>
      </c>
      <c r="K4" s="145">
        <f>IFERROR('Template données'!P4,0)*(1-IFERROR(G4,0))</f>
        <v/>
      </c>
      <c r="L4" s="145">
        <f>IFERROR(B4,0)*(1-IFERROR(H4,0)-IFERROR(I4,0))</f>
        <v/>
      </c>
    </row>
    <row r="5" s="173">
      <c r="A5" s="5" t="inlineStr">
        <is>
          <t>CP004</t>
        </is>
      </c>
      <c r="B5" s="28" t="n">
        <v>261787</v>
      </c>
      <c r="C5" s="28" t="inlineStr">
        <is>
          <t>souverain</t>
        </is>
      </c>
      <c r="D5" s="28" t="inlineStr">
        <is>
          <t>bancaire_non_note</t>
        </is>
      </c>
      <c r="E5" s="28">
        <f>IF(OR(D5="AAA",D5="AA+",D5="AA",D5="AA-",D5="non_note_etat_umoa"),"AAA_AA",IF(OR(D5="A+",D5="A",D5="A-",D5="BBB+",D5="BBB",D5="BBB-",D5="garanti_brvm",D5="bancaire_non_note"),"A_BBB",IF(OR(D5="BB+",D5="BB",D5="BB-"),"BB",IF(D5="actions_brvm","ACTION_BRVM",IF(D5="autres_actions","AUTRE_ACTION",IF(D5="opcvm","OPCVM",IF(D5="liquidite","LIQUIDITE","")))))))</f>
        <v/>
      </c>
      <c r="F5" s="28" t="inlineStr">
        <is>
          <t>&gt;10 ans</t>
        </is>
      </c>
      <c r="G5" s="26">
        <f>IF(E5="AAA_AA",IF(F5="&lt;=1 an",IF(C5="souverain",0.5%,1%),IF(F5="1-3 ans",IF(C5="souverain",2%,3%),IF(F5="3-5 ans",IF(C5="souverain",2%,4%),IF(F5="5-10 ans",IF(C5="souverain",4%,6%),IF(F5="&gt;10 ans",IF(C5="souverain",4%,12%),""))))),IF(E5="A_BBB",IF(F5="&lt;=1 an",IF(C5="souverain",1%,2%),IF(F5="1-3 ans",IF(C5="souverain",3%,4%),IF(F5="3-5 ans",IF(C5="souverain",3%,6%),IF(F5="5-10 ans",IF(C5="souverain",6%,12%),IF(F5="&gt;10 ans",IF(C5="souverain",6%,20%),""))))),IF(E5="BB",IF(C5="souverain",15%,0%),IF(E5="ACTION_BRVM",20%,IF(E5="AUTRE_ACTION",30%,IF(E5="OPCVM","MAX",IF(E5="LIQUIDITE",0%,"")))))))</f>
        <v/>
      </c>
      <c r="H5" s="26">
        <f>IF(E5="AAA_AA",IF(F5="&lt;=1 an",IF(C5="souverain",0.5%,1%),IF(F5="1-3 ans",IF(C5="souverain",2%,3%),IF(F5="3-5 ans",IF(C5="souverain",2%,4%),IF(F5="5-10 ans",IF(C5="souverain",4%,6%),IF(F5="&gt;10 ans",IF(C5="souverain",4%,12%),""))))),IF(E5="A_BBB",IF(F5="&lt;=1 an",IF(C5="souverain",1%,2%),IF(F5="1-3 ans",IF(C5="souverain",3%,4%),IF(F5="3-5 ans",IF(C5="souverain",3%,6%),IF(F5="5-10 ans",IF(C5="souverain",6%,12%),IF(F5="&gt;10 ans",IF(C5="souverain",6%,20%),""))))),IF(E5="BB",IF(C5="souverain",15%,0%),IF(E5="ACTION_BRVM",20%,IF(E5="AUTRE_ACTION",30%,IF(E5="OPCVM","MAX",IF(E5="LIQUIDITE",0%,"")))))))</f>
        <v/>
      </c>
      <c r="I5" s="26">
        <f>IF('Template données'!Q5="EUR",0%,IF('Template données'!Q5="XOF",0%,8%))</f>
        <v/>
      </c>
      <c r="J5" s="145">
        <f>IFERROR('Template données'!O8,0)*(1-IFERROR(G5,0))</f>
        <v/>
      </c>
      <c r="K5" s="145">
        <f>IFERROR('Template données'!P5,0)*(1-IFERROR(G5,0))</f>
        <v/>
      </c>
      <c r="L5" s="145">
        <f>IFERROR(B5,0)*(1-IFERROR(H5,0)-IFERROR(I5,0))</f>
        <v/>
      </c>
    </row>
    <row r="6" s="173">
      <c r="A6" s="5" t="inlineStr">
        <is>
          <t>CP005</t>
        </is>
      </c>
      <c r="B6" s="28" t="n">
        <v>34238</v>
      </c>
      <c r="C6" s="28" t="inlineStr">
        <is>
          <t>souverain</t>
        </is>
      </c>
      <c r="D6" s="28" t="inlineStr">
        <is>
          <t>non_note_etat_umoa</t>
        </is>
      </c>
      <c r="E6" s="28">
        <f>IF(OR(D6="AAA",D6="AA+",D6="AA",D6="AA-",D6="non_note_etat_umoa"),"AAA_AA",IF(OR(D6="A+",D6="A",D6="A-",D6="BBB+",D6="BBB",D6="BBB-",D6="garanti_brvm",D6="bancaire_non_note"),"A_BBB",IF(OR(D6="BB+",D6="BB",D6="BB-"),"BB",IF(D6="actions_brvm","ACTION_BRVM",IF(D6="autres_actions","AUTRE_ACTION",IF(D6="opcvm","OPCVM",IF(D6="liquidite","LIQUIDITE","")))))))</f>
        <v/>
      </c>
      <c r="F6" s="28" t="inlineStr">
        <is>
          <t>&lt;=1 an</t>
        </is>
      </c>
      <c r="G6" s="26">
        <f>IF(E6="AAA_AA",IF(F6="&lt;=1 an",IF(C6="souverain",0.5%,1%),IF(F6="1-3 ans",IF(C6="souverain",2%,3%),IF(F6="3-5 ans",IF(C6="souverain",2%,4%),IF(F6="5-10 ans",IF(C6="souverain",4%,6%),IF(F6="&gt;10 ans",IF(C6="souverain",4%,12%),""))))),IF(E6="A_BBB",IF(F6="&lt;=1 an",IF(C6="souverain",1%,2%),IF(F6="1-3 ans",IF(C6="souverain",3%,4%),IF(F6="3-5 ans",IF(C6="souverain",3%,6%),IF(F6="5-10 ans",IF(C6="souverain",6%,12%),IF(F6="&gt;10 ans",IF(C6="souverain",6%,20%),""))))),IF(E6="BB",IF(C6="souverain",15%,0%),IF(E6="ACTION_BRVM",20%,IF(E6="AUTRE_ACTION",30%,IF(E6="OPCVM","MAX",IF(E6="LIQUIDITE",0%,"")))))))</f>
        <v/>
      </c>
      <c r="H6" s="26">
        <f>IF(E6="AAA_AA",IF(F6="&lt;=1 an",IF(C6="souverain",0.5%,1%),IF(F6="1-3 ans",IF(C6="souverain",2%,3%),IF(F6="3-5 ans",IF(C6="souverain",2%,4%),IF(F6="5-10 ans",IF(C6="souverain",4%,6%),IF(F6="&gt;10 ans",IF(C6="souverain",4%,12%),""))))),IF(E6="A_BBB",IF(F6="&lt;=1 an",IF(C6="souverain",1%,2%),IF(F6="1-3 ans",IF(C6="souverain",3%,4%),IF(F6="3-5 ans",IF(C6="souverain",3%,6%),IF(F6="5-10 ans",IF(C6="souverain",6%,12%),IF(F6="&gt;10 ans",IF(C6="souverain",6%,20%),""))))),IF(E6="BB",IF(C6="souverain",15%,0%),IF(E6="ACTION_BRVM",20%,IF(E6="AUTRE_ACTION",30%,IF(E6="OPCVM","MAX",IF(E6="LIQUIDITE",0%,"")))))))</f>
        <v/>
      </c>
      <c r="I6" s="26">
        <f>IF('Template données'!Q6="EUR",0%,IF('Template données'!Q6="XOF",0%,8%))</f>
        <v/>
      </c>
      <c r="J6" s="145">
        <f>IFERROR('Template données'!O9,0)*(1-IFERROR(G6,0))</f>
        <v/>
      </c>
      <c r="K6" s="145">
        <f>IFERROR('Template données'!P6,0)*(1-IFERROR(G6,0))</f>
        <v/>
      </c>
      <c r="L6" s="145">
        <f>IFERROR(B6,0)*(1-IFERROR(H6,0)-IFERROR(I6,0))</f>
        <v/>
      </c>
    </row>
    <row r="7" s="173">
      <c r="A7" s="5" t="inlineStr">
        <is>
          <t>CP006</t>
        </is>
      </c>
      <c r="B7" s="28" t="n">
        <v>200000</v>
      </c>
      <c r="C7" s="28" t="inlineStr">
        <is>
          <t>autre</t>
        </is>
      </c>
      <c r="D7" s="28" t="inlineStr">
        <is>
          <t>AA-</t>
        </is>
      </c>
      <c r="E7" s="28">
        <f>IF(OR(D7="AAA",D7="AA+",D7="AA",D7="AA-",D7="non_note_etat_umoa"),"AAA_AA",IF(OR(D7="A+",D7="A",D7="A-",D7="BBB+",D7="BBB",D7="BBB-",D7="garanti_brvm",D7="bancaire_non_note"),"A_BBB",IF(OR(D7="BB+",D7="BB",D7="BB-"),"BB",IF(D7="actions_brvm","ACTION_BRVM",IF(D7="autres_actions","AUTRE_ACTION",IF(D7="opcvm","OPCVM",IF(D7="liquidite","LIQUIDITE","")))))))</f>
        <v/>
      </c>
      <c r="F7" s="28" t="inlineStr">
        <is>
          <t>3-5 ans</t>
        </is>
      </c>
      <c r="G7" s="26">
        <f>IF(E7="AAA_AA",IF(F7="&lt;=1 an",IF(C7="souverain",0.5%,1%),IF(F7="1-3 ans",IF(C7="souverain",2%,3%),IF(F7="3-5 ans",IF(C7="souverain",2%,4%),IF(F7="5-10 ans",IF(C7="souverain",4%,6%),IF(F7="&gt;10 ans",IF(C7="souverain",4%,12%),""))))),IF(E7="A_BBB",IF(F7="&lt;=1 an",IF(C7="souverain",1%,2%),IF(F7="1-3 ans",IF(C7="souverain",3%,4%),IF(F7="3-5 ans",IF(C7="souverain",3%,6%),IF(F7="5-10 ans",IF(C7="souverain",6%,12%),IF(F7="&gt;10 ans",IF(C7="souverain",6%,20%),""))))),IF(E7="BB",IF(C7="souverain",15%,0%),IF(E7="ACTION_BRVM",20%,IF(E7="AUTRE_ACTION",30%,IF(E7="OPCVM","MAX",IF(E7="LIQUIDITE",0%,"")))))))</f>
        <v/>
      </c>
      <c r="H7" s="26">
        <f>IF(E7="AAA_AA",IF(F7="&lt;=1 an",IF(C7="souverain",0.5%,1%),IF(F7="1-3 ans",IF(C7="souverain",2%,3%),IF(F7="3-5 ans",IF(C7="souverain",2%,4%),IF(F7="5-10 ans",IF(C7="souverain",4%,6%),IF(F7="&gt;10 ans",IF(C7="souverain",4%,12%),""))))),IF(E7="A_BBB",IF(F7="&lt;=1 an",IF(C7="souverain",1%,2%),IF(F7="1-3 ans",IF(C7="souverain",3%,4%),IF(F7="3-5 ans",IF(C7="souverain",3%,6%),IF(F7="5-10 ans",IF(C7="souverain",6%,12%),IF(F7="&gt;10 ans",IF(C7="souverain",6%,20%),""))))),IF(E7="BB",IF(C7="souverain",15%,0%),IF(E7="ACTION_BRVM",20%,IF(E7="AUTRE_ACTION",30%,IF(E7="OPCVM","MAX",IF(E7="LIQUIDITE",0%,"")))))))</f>
        <v/>
      </c>
      <c r="I7" s="26">
        <f>IF('Template données'!Q7="EUR",0%,IF('Template données'!Q7="XOF",0%,8%))</f>
        <v/>
      </c>
      <c r="J7" s="145">
        <f>IFERROR('Template données'!O10,0)*(1-IFERROR(G7,0))</f>
        <v/>
      </c>
      <c r="K7" s="145">
        <f>IFERROR('Template données'!P7,0)*(1-IFERROR(G7,0))</f>
        <v/>
      </c>
      <c r="L7" s="145">
        <f>IFERROR(B7,0)*(1-IFERROR(H7,0)-IFERROR(I7,0))</f>
        <v/>
      </c>
    </row>
    <row r="8" s="173">
      <c r="A8" s="5" t="inlineStr">
        <is>
          <t>CP007</t>
        </is>
      </c>
      <c r="B8" s="28" t="n">
        <v>5035741</v>
      </c>
      <c r="C8" s="28" t="inlineStr">
        <is>
          <t>autre</t>
        </is>
      </c>
      <c r="D8" s="28" t="inlineStr">
        <is>
          <t>garanti_brvm</t>
        </is>
      </c>
      <c r="E8" s="28">
        <f>IF(OR(D8="AAA",D8="AA+",D8="AA",D8="AA-",D8="non_note_etat_umoa"),"AAA_AA",IF(OR(D8="A+",D8="A",D8="A-",D8="BBB+",D8="BBB",D8="BBB-",D8="garanti_brvm",D8="bancaire_non_note"),"A_BBB",IF(OR(D8="BB+",D8="BB",D8="BB-"),"BB",IF(D8="actions_brvm","ACTION_BRVM",IF(D8="autres_actions","AUTRE_ACTION",IF(D8="opcvm","OPCVM",IF(D8="liquidite","LIQUIDITE","")))))))</f>
        <v/>
      </c>
      <c r="F8" s="28" t="inlineStr">
        <is>
          <t>3-5 ans</t>
        </is>
      </c>
      <c r="G8" s="26">
        <f>IF(E8="AAA_AA",IF(F8="&lt;=1 an",IF(C8="souverain",0.5%,1%),IF(F8="1-3 ans",IF(C8="souverain",2%,3%),IF(F8="3-5 ans",IF(C8="souverain",2%,4%),IF(F8="5-10 ans",IF(C8="souverain",4%,6%),IF(F8="&gt;10 ans",IF(C8="souverain",4%,12%),""))))),IF(E8="A_BBB",IF(F8="&lt;=1 an",IF(C8="souverain",1%,2%),IF(F8="1-3 ans",IF(C8="souverain",3%,4%),IF(F8="3-5 ans",IF(C8="souverain",3%,6%),IF(F8="5-10 ans",IF(C8="souverain",6%,12%),IF(F8="&gt;10 ans",IF(C8="souverain",6%,20%),""))))),IF(E8="BB",IF(C8="souverain",15%,0%),IF(E8="ACTION_BRVM",20%,IF(E8="AUTRE_ACTION",30%,IF(E8="OPCVM","MAX",IF(E8="LIQUIDITE",0%,"")))))))</f>
        <v/>
      </c>
      <c r="H8" s="26">
        <f>IF(E8="AAA_AA",IF(F8="&lt;=1 an",IF(C8="souverain",0.5%,1%),IF(F8="1-3 ans",IF(C8="souverain",2%,3%),IF(F8="3-5 ans",IF(C8="souverain",2%,4%),IF(F8="5-10 ans",IF(C8="souverain",4%,6%),IF(F8="&gt;10 ans",IF(C8="souverain",4%,12%),""))))),IF(E8="A_BBB",IF(F8="&lt;=1 an",IF(C8="souverain",1%,2%),IF(F8="1-3 ans",IF(C8="souverain",3%,4%),IF(F8="3-5 ans",IF(C8="souverain",3%,6%),IF(F8="5-10 ans",IF(C8="souverain",6%,12%),IF(F8="&gt;10 ans",IF(C8="souverain",6%,20%),""))))),IF(E8="BB",IF(C8="souverain",15%,0%),IF(E8="ACTION_BRVM",20%,IF(E8="AUTRE_ACTION",30%,IF(E8="OPCVM","MAX",IF(E8="LIQUIDITE",0%,"")))))))</f>
        <v/>
      </c>
      <c r="I8" s="26">
        <f>IF('Template données'!Q8="EUR",0%,IF('Template données'!Q8="XOF",0%,8%))</f>
        <v/>
      </c>
      <c r="J8" s="145">
        <f>IFERROR('Template données'!O11,0)*(1-IFERROR(G8,0))</f>
        <v/>
      </c>
      <c r="K8" s="145">
        <f>IFERROR('Template données'!P8,0)*(1-IFERROR(G8,0))</f>
        <v/>
      </c>
      <c r="L8" s="145">
        <f>IFERROR(B8,0)*(1-IFERROR(H8,0)-IFERROR(I8,0))</f>
        <v/>
      </c>
      <c r="M8" s="147" t="n"/>
      <c r="N8" s="147" t="n"/>
      <c r="O8" s="147" t="n"/>
      <c r="P8" s="147" t="n"/>
      <c r="Q8" s="147" t="n"/>
      <c r="R8" s="147" t="n"/>
      <c r="S8" s="147" t="n"/>
      <c r="T8" s="147" t="n"/>
      <c r="U8" s="147" t="n"/>
      <c r="V8" s="147" t="n"/>
      <c r="W8" s="147" t="n"/>
      <c r="X8" s="147" t="n"/>
      <c r="Y8" s="147" t="n"/>
      <c r="Z8" s="147" t="n"/>
      <c r="AA8" s="147" t="n"/>
    </row>
    <row r="9" s="173">
      <c r="A9" s="5" t="inlineStr">
        <is>
          <t>CP008</t>
        </is>
      </c>
      <c r="B9" s="28" t="n">
        <v>5841698</v>
      </c>
      <c r="C9" s="28" t="inlineStr">
        <is>
          <t>souverain</t>
        </is>
      </c>
      <c r="D9" s="28" t="inlineStr">
        <is>
          <t>garanti_brvm</t>
        </is>
      </c>
      <c r="E9" s="28">
        <f>IF(OR(D9="AAA",D9="AA+",D9="AA",D9="AA-",D9="non_note_etat_umoa"),"AAA_AA",IF(OR(D9="A+",D9="A",D9="A-",D9="BBB+",D9="BBB",D9="BBB-",D9="garanti_brvm",D9="bancaire_non_note"),"A_BBB",IF(OR(D9="BB+",D9="BB",D9="BB-"),"BB",IF(D9="actions_brvm","ACTION_BRVM",IF(D9="autres_actions","AUTRE_ACTION",IF(D9="opcvm","OPCVM",IF(D9="liquidite","LIQUIDITE","")))))))</f>
        <v/>
      </c>
      <c r="F9" s="28" t="inlineStr">
        <is>
          <t>1-3 ans</t>
        </is>
      </c>
      <c r="G9" s="26">
        <f>IF(E9="AAA_AA",IF(F9="&lt;=1 an",IF(C9="souverain",0.5%,1%),IF(F9="1-3 ans",IF(C9="souverain",2%,3%),IF(F9="3-5 ans",IF(C9="souverain",2%,4%),IF(F9="5-10 ans",IF(C9="souverain",4%,6%),IF(F9="&gt;10 ans",IF(C9="souverain",4%,12%),""))))),IF(E9="A_BBB",IF(F9="&lt;=1 an",IF(C9="souverain",1%,2%),IF(F9="1-3 ans",IF(C9="souverain",3%,4%),IF(F9="3-5 ans",IF(C9="souverain",3%,6%),IF(F9="5-10 ans",IF(C9="souverain",6%,12%),IF(F9="&gt;10 ans",IF(C9="souverain",6%,20%),""))))),IF(E9="BB",IF(C9="souverain",15%,0%),IF(E9="ACTION_BRVM",20%,IF(E9="AUTRE_ACTION",30%,IF(E9="OPCVM","MAX",IF(E9="LIQUIDITE",0%,"")))))))</f>
        <v/>
      </c>
      <c r="H9" s="26">
        <f>IF(E9="AAA_AA",IF(F9="&lt;=1 an",IF(C9="souverain",0.5%,1%),IF(F9="1-3 ans",IF(C9="souverain",2%,3%),IF(F9="3-5 ans",IF(C9="souverain",2%,4%),IF(F9="5-10 ans",IF(C9="souverain",4%,6%),IF(F9="&gt;10 ans",IF(C9="souverain",4%,12%),""))))),IF(E9="A_BBB",IF(F9="&lt;=1 an",IF(C9="souverain",1%,2%),IF(F9="1-3 ans",IF(C9="souverain",3%,4%),IF(F9="3-5 ans",IF(C9="souverain",3%,6%),IF(F9="5-10 ans",IF(C9="souverain",6%,12%),IF(F9="&gt;10 ans",IF(C9="souverain",6%,20%),""))))),IF(E9="BB",IF(C9="souverain",15%,0%),IF(E9="ACTION_BRVM",20%,IF(E9="AUTRE_ACTION",30%,IF(E9="OPCVM","MAX",IF(E9="LIQUIDITE",0%,"")))))))</f>
        <v/>
      </c>
      <c r="I9" s="26">
        <f>IF('Template données'!Q9="EUR",0%,IF('Template données'!Q9="XOF",0%,8%))</f>
        <v/>
      </c>
      <c r="J9" s="145">
        <f>IFERROR('Template données'!O12,0)*(1-IFERROR(G9,0))</f>
        <v/>
      </c>
      <c r="K9" s="145">
        <f>IFERROR('Template données'!P9,0)*(1-IFERROR(G9,0))</f>
        <v/>
      </c>
      <c r="L9" s="145">
        <f>IFERROR(B9,0)*(1-IFERROR(H9,0)-IFERROR(I9,0))</f>
        <v/>
      </c>
      <c r="M9" s="147" t="n"/>
      <c r="N9" s="147" t="n"/>
      <c r="O9" s="147" t="n"/>
      <c r="P9" s="147" t="n"/>
      <c r="Q9" s="147" t="n"/>
      <c r="R9" s="147" t="n"/>
      <c r="S9" s="147" t="n"/>
      <c r="T9" s="147" t="n"/>
      <c r="U9" s="147" t="n"/>
      <c r="V9" s="147" t="n"/>
      <c r="W9" s="147" t="n"/>
      <c r="X9" s="147" t="n"/>
      <c r="Y9" s="147" t="n"/>
      <c r="Z9" s="147" t="n"/>
      <c r="AA9" s="147" t="n"/>
    </row>
    <row r="10" s="173">
      <c r="A10" s="5" t="inlineStr">
        <is>
          <t>CP009</t>
        </is>
      </c>
      <c r="B10" s="28" t="n">
        <v>6647654</v>
      </c>
      <c r="C10" s="28" t="inlineStr">
        <is>
          <t>autre</t>
        </is>
      </c>
      <c r="D10" s="28" t="inlineStr">
        <is>
          <t>BB-</t>
        </is>
      </c>
      <c r="E10" s="28">
        <f>IF(OR(D10="AAA",D10="AA+",D10="AA",D10="AA-",D10="non_note_etat_umoa"),"AAA_AA",IF(OR(D10="A+",D10="A",D10="A-",D10="BBB+",D10="BBB",D10="BBB-",D10="garanti_brvm",D10="bancaire_non_note"),"A_BBB",IF(OR(D10="BB+",D10="BB",D10="BB-"),"BB",IF(D10="actions_brvm","ACTION_BRVM",IF(D10="autres_actions","AUTRE_ACTION",IF(D10="opcvm","OPCVM",IF(D10="liquidite","LIQUIDITE","")))))))</f>
        <v/>
      </c>
      <c r="F10" s="28" t="inlineStr">
        <is>
          <t>3-5 ans</t>
        </is>
      </c>
      <c r="G10" s="26">
        <f>IF(E10="AAA_AA",IF(F10="&lt;=1 an",IF(C10="souverain",0.5%,1%),IF(F10="1-3 ans",IF(C10="souverain",2%,3%),IF(F10="3-5 ans",IF(C10="souverain",2%,4%),IF(F10="5-10 ans",IF(C10="souverain",4%,6%),IF(F10="&gt;10 ans",IF(C10="souverain",4%,12%),""))))),IF(E10="A_BBB",IF(F10="&lt;=1 an",IF(C10="souverain",1%,2%),IF(F10="1-3 ans",IF(C10="souverain",3%,4%),IF(F10="3-5 ans",IF(C10="souverain",3%,6%),IF(F10="5-10 ans",IF(C10="souverain",6%,12%),IF(F10="&gt;10 ans",IF(C10="souverain",6%,20%),""))))),IF(E10="BB",IF(C10="souverain",15%,0%),IF(E10="ACTION_BRVM",20%,IF(E10="AUTRE_ACTION",30%,IF(E10="OPCVM","MAX",IF(E10="LIQUIDITE",0%,"")))))))</f>
        <v/>
      </c>
      <c r="H10" s="26">
        <f>IF(E10="AAA_AA",IF(F10="&lt;=1 an",IF(C10="souverain",0.5%,1%),IF(F10="1-3 ans",IF(C10="souverain",2%,3%),IF(F10="3-5 ans",IF(C10="souverain",2%,4%),IF(F10="5-10 ans",IF(C10="souverain",4%,6%),IF(F10="&gt;10 ans",IF(C10="souverain",4%,12%),""))))),IF(E10="A_BBB",IF(F10="&lt;=1 an",IF(C10="souverain",1%,2%),IF(F10="1-3 ans",IF(C10="souverain",3%,4%),IF(F10="3-5 ans",IF(C10="souverain",3%,6%),IF(F10="5-10 ans",IF(C10="souverain",6%,12%),IF(F10="&gt;10 ans",IF(C10="souverain",6%,20%),""))))),IF(E10="BB",IF(C10="souverain",15%,0%),IF(E10="ACTION_BRVM",20%,IF(E10="AUTRE_ACTION",30%,IF(E10="OPCVM","MAX",IF(E10="LIQUIDITE",0%,"")))))))</f>
        <v/>
      </c>
      <c r="I10" s="26">
        <f>IF('Template données'!Q10="EUR",0%,IF('Template données'!Q10="XOF",0%,8%))</f>
        <v/>
      </c>
      <c r="J10" s="145">
        <f>IFERROR('Template données'!O13,0)*(1-IFERROR(G10,0))</f>
        <v/>
      </c>
      <c r="K10" s="145">
        <f>IFERROR('Template données'!P10,0)*(1-IFERROR(G10,0))</f>
        <v/>
      </c>
      <c r="L10" s="145">
        <f>IFERROR(B10,0)*(1-IFERROR(H10,0)-IFERROR(I10,0))</f>
        <v/>
      </c>
      <c r="M10" s="147" t="n"/>
      <c r="N10" s="147" t="n"/>
      <c r="O10" s="147" t="n"/>
      <c r="P10" s="147" t="n"/>
      <c r="Q10" s="147" t="n"/>
      <c r="R10" s="147" t="n"/>
      <c r="S10" s="147" t="n"/>
      <c r="T10" s="147" t="n"/>
      <c r="U10" s="147" t="n"/>
      <c r="V10" s="147" t="n"/>
      <c r="W10" s="147" t="n"/>
      <c r="X10" s="147" t="n"/>
      <c r="Y10" s="147" t="n"/>
      <c r="Z10" s="147" t="n"/>
      <c r="AA10" s="147" t="n"/>
    </row>
    <row r="11" s="173">
      <c r="A11" s="5" t="inlineStr">
        <is>
          <t>CP010</t>
        </is>
      </c>
      <c r="B11" s="28" t="n">
        <v>7453611</v>
      </c>
      <c r="C11" s="28" t="inlineStr">
        <is>
          <t>souverain</t>
        </is>
      </c>
      <c r="D11" s="28" t="inlineStr">
        <is>
          <t>non_note_etat_umoa</t>
        </is>
      </c>
      <c r="E11" s="28">
        <f>IF(OR(D11="AAA",D11="AA+",D11="AA",D11="AA-",D11="non_note_etat_umoa"),"AAA_AA",IF(OR(D11="A+",D11="A",D11="A-",D11="BBB+",D11="BBB",D11="BBB-",D11="garanti_brvm",D11="bancaire_non_note"),"A_BBB",IF(OR(D11="BB+",D11="BB",D11="BB-"),"BB",IF(D11="actions_brvm","ACTION_BRVM",IF(D11="autres_actions","AUTRE_ACTION",IF(D11="opcvm","OPCVM",IF(D11="liquidite","LIQUIDITE","")))))))</f>
        <v/>
      </c>
      <c r="F11" s="28" t="inlineStr">
        <is>
          <t>3-5 ans</t>
        </is>
      </c>
      <c r="G11" s="26">
        <f>IF(E11="AAA_AA",IF(F11="&lt;=1 an",IF(C11="souverain",0.5%,1%),IF(F11="1-3 ans",IF(C11="souverain",2%,3%),IF(F11="3-5 ans",IF(C11="souverain",2%,4%),IF(F11="5-10 ans",IF(C11="souverain",4%,6%),IF(F11="&gt;10 ans",IF(C11="souverain",4%,12%),""))))),IF(E11="A_BBB",IF(F11="&lt;=1 an",IF(C11="souverain",1%,2%),IF(F11="1-3 ans",IF(C11="souverain",3%,4%),IF(F11="3-5 ans",IF(C11="souverain",3%,6%),IF(F11="5-10 ans",IF(C11="souverain",6%,12%),IF(F11="&gt;10 ans",IF(C11="souverain",6%,20%),""))))),IF(E11="BB",IF(C11="souverain",15%,0%),IF(E11="ACTION_BRVM",20%,IF(E11="AUTRE_ACTION",30%,IF(E11="OPCVM","MAX",IF(E11="LIQUIDITE",0%,"")))))))</f>
        <v/>
      </c>
      <c r="H11" s="26">
        <f>IF(E11="AAA_AA",IF(F11="&lt;=1 an",IF(C11="souverain",0.5%,1%),IF(F11="1-3 ans",IF(C11="souverain",2%,3%),IF(F11="3-5 ans",IF(C11="souverain",2%,4%),IF(F11="5-10 ans",IF(C11="souverain",4%,6%),IF(F11="&gt;10 ans",IF(C11="souverain",4%,12%),""))))),IF(E11="A_BBB",IF(F11="&lt;=1 an",IF(C11="souverain",1%,2%),IF(F11="1-3 ans",IF(C11="souverain",3%,4%),IF(F11="3-5 ans",IF(C11="souverain",3%,6%),IF(F11="5-10 ans",IF(C11="souverain",6%,12%),IF(F11="&gt;10 ans",IF(C11="souverain",6%,20%),""))))),IF(E11="BB",IF(C11="souverain",15%,0%),IF(E11="ACTION_BRVM",20%,IF(E11="AUTRE_ACTION",30%,IF(E11="OPCVM","MAX",IF(E11="LIQUIDITE",0%,"")))))))</f>
        <v/>
      </c>
      <c r="I11" s="26">
        <f>IF('Template données'!Q11="EUR",0%,IF('Template données'!Q11="XOF",0%,8%))</f>
        <v/>
      </c>
      <c r="J11" s="145">
        <f>IFERROR('Template données'!O14,0)*(1-IFERROR(G11,0))</f>
        <v/>
      </c>
      <c r="K11" s="145">
        <f>IFERROR('Template données'!P11,0)*(1-IFERROR(G11,0))</f>
        <v/>
      </c>
      <c r="L11" s="145">
        <f>IFERROR(B11,0)*(1-IFERROR(H11,0)-IFERROR(I11,0))</f>
        <v/>
      </c>
      <c r="M11" s="147" t="n"/>
      <c r="N11" s="147" t="n"/>
      <c r="O11" s="147" t="n"/>
      <c r="P11" s="147" t="n"/>
      <c r="Q11" s="147" t="n"/>
      <c r="R11" s="147" t="n"/>
      <c r="S11" s="147" t="n"/>
      <c r="T11" s="147" t="n"/>
      <c r="U11" s="147" t="n"/>
      <c r="V11" s="147" t="n"/>
      <c r="W11" s="147" t="n"/>
      <c r="X11" s="147" t="n"/>
      <c r="Y11" s="147" t="n"/>
      <c r="Z11" s="147" t="n"/>
      <c r="AA11" s="147" t="n"/>
    </row>
    <row r="12" s="173">
      <c r="A12" s="5" t="inlineStr">
        <is>
          <t>CP011</t>
        </is>
      </c>
      <c r="B12" s="28" t="n">
        <v>82595</v>
      </c>
      <c r="C12" s="28" t="inlineStr">
        <is>
          <t>autre</t>
        </is>
      </c>
      <c r="D12" s="28" t="inlineStr">
        <is>
          <t>garanti_brvm</t>
        </is>
      </c>
      <c r="E12" s="28">
        <f>IF(OR(D12="AAA",D12="AA+",D12="AA",D12="AA-",D12="non_note_etat_umoa"),"AAA_AA",IF(OR(D12="A+",D12="A",D12="A-",D12="BBB+",D12="BBB",D12="BBB-",D12="garanti_brvm",D12="bancaire_non_note"),"A_BBB",IF(OR(D12="BB+",D12="BB",D12="BB-"),"BB",IF(D12="actions_brvm","ACTION_BRVM",IF(D12="autres_actions","AUTRE_ACTION",IF(D12="opcvm","OPCVM",IF(D12="liquidite","LIQUIDITE","")))))))</f>
        <v/>
      </c>
      <c r="F12" s="28" t="inlineStr">
        <is>
          <t>3-5 ans</t>
        </is>
      </c>
      <c r="G12" s="26">
        <f>IF(E12="AAA_AA",IF(F12="&lt;=1 an",IF(C12="souverain",0.5%,1%),IF(F12="1-3 ans",IF(C12="souverain",2%,3%),IF(F12="3-5 ans",IF(C12="souverain",2%,4%),IF(F12="5-10 ans",IF(C12="souverain",4%,6%),IF(F12="&gt;10 ans",IF(C12="souverain",4%,12%),""))))),IF(E12="A_BBB",IF(F12="&lt;=1 an",IF(C12="souverain",1%,2%),IF(F12="1-3 ans",IF(C12="souverain",3%,4%),IF(F12="3-5 ans",IF(C12="souverain",3%,6%),IF(F12="5-10 ans",IF(C12="souverain",6%,12%),IF(F12="&gt;10 ans",IF(C12="souverain",6%,20%),""))))),IF(E12="BB",IF(C12="souverain",15%,0%),IF(E12="ACTION_BRVM",20%,IF(E12="AUTRE_ACTION",30%,IF(E12="OPCVM","MAX",IF(E12="LIQUIDITE",0%,"")))))))</f>
        <v/>
      </c>
      <c r="H12" s="26">
        <f>IF(E12="AAA_AA",IF(F12="&lt;=1 an",IF(C12="souverain",0.5%,1%),IF(F12="1-3 ans",IF(C12="souverain",2%,3%),IF(F12="3-5 ans",IF(C12="souverain",2%,4%),IF(F12="5-10 ans",IF(C12="souverain",4%,6%),IF(F12="&gt;10 ans",IF(C12="souverain",4%,12%),""))))),IF(E12="A_BBB",IF(F12="&lt;=1 an",IF(C12="souverain",1%,2%),IF(F12="1-3 ans",IF(C12="souverain",3%,4%),IF(F12="3-5 ans",IF(C12="souverain",3%,6%),IF(F12="5-10 ans",IF(C12="souverain",6%,12%),IF(F12="&gt;10 ans",IF(C12="souverain",6%,20%),""))))),IF(E12="BB",IF(C12="souverain",15%,0%),IF(E12="ACTION_BRVM",20%,IF(E12="AUTRE_ACTION",30%,IF(E12="OPCVM","MAX",IF(E12="LIQUIDITE",0%,"")))))))</f>
        <v/>
      </c>
      <c r="I12" s="26">
        <f>IF('Template données'!Q12="EUR",0%,IF('Template données'!Q12="XOF",0%,8%))</f>
        <v/>
      </c>
      <c r="J12" s="145">
        <f>IFERROR('Template données'!O15,0)*(1-IFERROR(G12,0))</f>
        <v/>
      </c>
      <c r="K12" s="145">
        <f>IFERROR('Template données'!P12,0)*(1-IFERROR(G12,0))</f>
        <v/>
      </c>
      <c r="L12" s="145">
        <f>IFERROR(B12,0)*(1-IFERROR(H12,0)-IFERROR(I12,0))</f>
        <v/>
      </c>
      <c r="M12" s="147" t="n"/>
      <c r="N12" s="147" t="n"/>
      <c r="O12" s="147" t="n"/>
      <c r="P12" s="147" t="n"/>
      <c r="Q12" s="147" t="n"/>
      <c r="R12" s="147" t="n"/>
      <c r="S12" s="147" t="n"/>
      <c r="T12" s="147" t="n"/>
      <c r="U12" s="147" t="n"/>
      <c r="V12" s="147" t="n"/>
      <c r="W12" s="147" t="n"/>
      <c r="X12" s="147" t="n"/>
      <c r="Y12" s="147" t="n"/>
      <c r="Z12" s="147" t="n"/>
      <c r="AA12" s="147" t="n"/>
    </row>
    <row r="13" s="173">
      <c r="A13" s="5" t="inlineStr">
        <is>
          <t>CP012</t>
        </is>
      </c>
      <c r="B13" s="28" t="n">
        <v>906552</v>
      </c>
      <c r="C13" s="28" t="inlineStr">
        <is>
          <t>souverain</t>
        </is>
      </c>
      <c r="D13" s="28" t="inlineStr">
        <is>
          <t>actions_brvm</t>
        </is>
      </c>
      <c r="E13" s="28">
        <f>IF(OR(D13="AAA",D13="AA+",D13="AA",D13="AA-",D13="non_note_etat_umoa"),"AAA_AA",IF(OR(D13="A+",D13="A",D13="A-",D13="BBB+",D13="BBB",D13="BBB-",D13="garanti_brvm",D13="bancaire_non_note"),"A_BBB",IF(OR(D13="BB+",D13="BB",D13="BB-"),"BB",IF(D13="actions_brvm","ACTION_BRVM",IF(D13="autres_actions","AUTRE_ACTION",IF(D13="opcvm","OPCVM",IF(D13="liquidite","LIQUIDITE","")))))))</f>
        <v/>
      </c>
      <c r="F13" s="28" t="inlineStr">
        <is>
          <t>3-5 ans</t>
        </is>
      </c>
      <c r="G13" s="26">
        <f>IF(E13="AAA_AA",IF(F13="&lt;=1 an",IF(C13="souverain",0.5%,1%),IF(F13="1-3 ans",IF(C13="souverain",2%,3%),IF(F13="3-5 ans",IF(C13="souverain",2%,4%),IF(F13="5-10 ans",IF(C13="souverain",4%,6%),IF(F13="&gt;10 ans",IF(C13="souverain",4%,12%),""))))),IF(E13="A_BBB",IF(F13="&lt;=1 an",IF(C13="souverain",1%,2%),IF(F13="1-3 ans",IF(C13="souverain",3%,4%),IF(F13="3-5 ans",IF(C13="souverain",3%,6%),IF(F13="5-10 ans",IF(C13="souverain",6%,12%),IF(F13="&gt;10 ans",IF(C13="souverain",6%,20%),""))))),IF(E13="BB",IF(C13="souverain",15%,0%),IF(E13="ACTION_BRVM",20%,IF(E13="AUTRE_ACTION",30%,IF(E13="OPCVM","MAX",IF(E13="LIQUIDITE",0%,"")))))))</f>
        <v/>
      </c>
      <c r="H13" s="26">
        <f>IF(E13="AAA_AA",IF(F13="&lt;=1 an",IF(C13="souverain",0.5%,1%),IF(F13="1-3 ans",IF(C13="souverain",2%,3%),IF(F13="3-5 ans",IF(C13="souverain",2%,4%),IF(F13="5-10 ans",IF(C13="souverain",4%,6%),IF(F13="&gt;10 ans",IF(C13="souverain",4%,12%),""))))),IF(E13="A_BBB",IF(F13="&lt;=1 an",IF(C13="souverain",1%,2%),IF(F13="1-3 ans",IF(C13="souverain",3%,4%),IF(F13="3-5 ans",IF(C13="souverain",3%,6%),IF(F13="5-10 ans",IF(C13="souverain",6%,12%),IF(F13="&gt;10 ans",IF(C13="souverain",6%,20%),""))))),IF(E13="BB",IF(C13="souverain",15%,0%),IF(E13="ACTION_BRVM",20%,IF(E13="AUTRE_ACTION",30%,IF(E13="OPCVM","MAX",IF(E13="LIQUIDITE",0%,"")))))))</f>
        <v/>
      </c>
      <c r="I13" s="26">
        <f>IF('Template données'!Q13="EUR",0%,IF('Template données'!Q13="XOF",0%,8%))</f>
        <v/>
      </c>
      <c r="J13" s="145">
        <f>IFERROR('Template données'!O16,0)*(1-IFERROR(G13,0))</f>
        <v/>
      </c>
      <c r="K13" s="145">
        <f>IFERROR('Template données'!P13,0)*(1-IFERROR(G13,0))</f>
        <v/>
      </c>
      <c r="L13" s="145">
        <f>IFERROR(B13,0)*(1-IFERROR(H13,0)-IFERROR(I13,0))</f>
        <v/>
      </c>
      <c r="M13" s="147" t="n"/>
      <c r="N13" s="147" t="n"/>
      <c r="O13" s="147" t="n"/>
      <c r="P13" s="147" t="n"/>
      <c r="Q13" s="147" t="n"/>
      <c r="R13" s="147" t="n"/>
      <c r="S13" s="147" t="n"/>
      <c r="T13" s="147" t="n"/>
      <c r="U13" s="147" t="n"/>
      <c r="V13" s="147" t="n"/>
      <c r="W13" s="147" t="n"/>
      <c r="X13" s="147" t="n"/>
      <c r="Y13" s="147" t="n"/>
      <c r="Z13" s="147" t="n"/>
      <c r="AA13" s="147" t="n"/>
    </row>
    <row r="14" s="173">
      <c r="A14" s="5" t="inlineStr">
        <is>
          <t>CP013</t>
        </is>
      </c>
      <c r="B14" s="28" t="n">
        <v>422978</v>
      </c>
      <c r="C14" s="28" t="inlineStr">
        <is>
          <t>souverain</t>
        </is>
      </c>
      <c r="D14" s="28" t="inlineStr">
        <is>
          <t>autres_actions</t>
        </is>
      </c>
      <c r="E14" s="28">
        <f>IF(OR(D14="AAA",D14="AA+",D14="AA",D14="AA-",D14="non_note_etat_umoa"),"AAA_AA",IF(OR(D14="A+",D14="A",D14="A-",D14="BBB+",D14="BBB",D14="BBB-",D14="garanti_brvm",D14="bancaire_non_note"),"A_BBB",IF(OR(D14="BB+",D14="BB",D14="BB-"),"BB",IF(D14="actions_brvm","ACTION_BRVM",IF(D14="autres_actions","AUTRE_ACTION",IF(D14="opcvm","OPCVM",IF(D14="liquidite","LIQUIDITE","")))))))</f>
        <v/>
      </c>
      <c r="F14" s="28" t="inlineStr">
        <is>
          <t>3-5 ans</t>
        </is>
      </c>
      <c r="G14" s="26">
        <f>IF(E14="AAA_AA",IF(F14="&lt;=1 an",IF(C14="souverain",0.5%,1%),IF(F14="1-3 ans",IF(C14="souverain",2%,3%),IF(F14="3-5 ans",IF(C14="souverain",2%,4%),IF(F14="5-10 ans",IF(C14="souverain",4%,6%),IF(F14="&gt;10 ans",IF(C14="souverain",4%,12%),""))))),IF(E14="A_BBB",IF(F14="&lt;=1 an",IF(C14="souverain",1%,2%),IF(F14="1-3 ans",IF(C14="souverain",3%,4%),IF(F14="3-5 ans",IF(C14="souverain",3%,6%),IF(F14="5-10 ans",IF(C14="souverain",6%,12%),IF(F14="&gt;10 ans",IF(C14="souverain",6%,20%),""))))),IF(E14="BB",IF(C14="souverain",15%,0%),IF(E14="ACTION_BRVM",20%,IF(E14="AUTRE_ACTION",30%,IF(E14="OPCVM","MAX",IF(E14="LIQUIDITE",0%,"")))))))</f>
        <v/>
      </c>
      <c r="H14" s="26">
        <f>IF(E14="AAA_AA",IF(F14="&lt;=1 an",IF(C14="souverain",0.5%,1%),IF(F14="1-3 ans",IF(C14="souverain",2%,3%),IF(F14="3-5 ans",IF(C14="souverain",2%,4%),IF(F14="5-10 ans",IF(C14="souverain",4%,6%),IF(F14="&gt;10 ans",IF(C14="souverain",4%,12%),""))))),IF(E14="A_BBB",IF(F14="&lt;=1 an",IF(C14="souverain",1%,2%),IF(F14="1-3 ans",IF(C14="souverain",3%,4%),IF(F14="3-5 ans",IF(C14="souverain",3%,6%),IF(F14="5-10 ans",IF(C14="souverain",6%,12%),IF(F14="&gt;10 ans",IF(C14="souverain",6%,20%),""))))),IF(E14="BB",IF(C14="souverain",15%,0%),IF(E14="ACTION_BRVM",20%,IF(E14="AUTRE_ACTION",30%,IF(E14="OPCVM","MAX",IF(E14="LIQUIDITE",0%,"")))))))</f>
        <v/>
      </c>
      <c r="I14" s="26">
        <f>IF('Template données'!Q14="EUR",0%,IF('Template données'!Q14="XOF",0%,8%))</f>
        <v/>
      </c>
      <c r="J14" s="145">
        <f>IFERROR('Template données'!O17,0)*(1-IFERROR(G14,0))</f>
        <v/>
      </c>
      <c r="K14" s="145">
        <f>IFERROR('Template données'!P14,0)*(1-IFERROR(G14,0))</f>
        <v/>
      </c>
      <c r="L14" s="145">
        <f>IFERROR(B14,0)*(1-IFERROR(H14,0)-IFERROR(I14,0))</f>
        <v/>
      </c>
      <c r="M14" s="147" t="n"/>
      <c r="N14" s="147" t="n"/>
      <c r="O14" s="147" t="n"/>
      <c r="P14" s="147" t="n"/>
      <c r="Q14" s="147" t="n"/>
      <c r="R14" s="147" t="n"/>
      <c r="S14" s="147" t="n"/>
      <c r="T14" s="147" t="n"/>
      <c r="U14" s="147" t="n"/>
      <c r="V14" s="147" t="n"/>
      <c r="W14" s="147" t="n"/>
      <c r="X14" s="147" t="n"/>
      <c r="Y14" s="147" t="n"/>
      <c r="Z14" s="147" t="n"/>
      <c r="AA14" s="147" t="n"/>
    </row>
    <row r="15" s="173">
      <c r="A15" s="5" t="inlineStr">
        <is>
          <t>CP014</t>
        </is>
      </c>
      <c r="B15" s="28" t="n">
        <v>5841698</v>
      </c>
      <c r="C15" s="28" t="inlineStr">
        <is>
          <t>souverain</t>
        </is>
      </c>
      <c r="D15" s="28" t="inlineStr">
        <is>
          <t>liquidite</t>
        </is>
      </c>
      <c r="E15" s="28">
        <f>IF(OR(D15="AAA",D15="AA+",D15="AA",D15="AA-",D15="non_note_etat_umoa"),"AAA_AA",IF(OR(D15="A+",D15="A",D15="A-",D15="BBB+",D15="BBB",D15="BBB-",D15="garanti_brvm",D15="bancaire_non_note"),"A_BBB",IF(OR(D15="BB+",D15="BB",D15="BB-"),"BB",IF(D15="actions_brvm","ACTION_BRVM",IF(D15="autres_actions","AUTRE_ACTION",IF(D15="opcvm","OPCVM",IF(D15="liquidite","LIQUIDITE","")))))))</f>
        <v/>
      </c>
      <c r="F15" s="28" t="inlineStr">
        <is>
          <t>3-5 ans</t>
        </is>
      </c>
      <c r="G15" s="26">
        <f>IF(E15="AAA_AA",IF(F15="&lt;=1 an",IF(C15="souverain",0.5%,1%),IF(F15="1-3 ans",IF(C15="souverain",2%,3%),IF(F15="3-5 ans",IF(C15="souverain",2%,4%),IF(F15="5-10 ans",IF(C15="souverain",4%,6%),IF(F15="&gt;10 ans",IF(C15="souverain",4%,12%),""))))),IF(E15="A_BBB",IF(F15="&lt;=1 an",IF(C15="souverain",1%,2%),IF(F15="1-3 ans",IF(C15="souverain",3%,4%),IF(F15="3-5 ans",IF(C15="souverain",3%,6%),IF(F15="5-10 ans",IF(C15="souverain",6%,12%),IF(F15="&gt;10 ans",IF(C15="souverain",6%,20%),""))))),IF(E15="BB",IF(C15="souverain",15%,0%),IF(E15="ACTION_BRVM",20%,IF(E15="AUTRE_ACTION",30%,IF(E15="OPCVM","MAX",IF(E15="LIQUIDITE",0%,"")))))))</f>
        <v/>
      </c>
      <c r="H15" s="26">
        <f>IF(E15="AAA_AA",IF(F15="&lt;=1 an",IF(C15="souverain",0.5%,1%),IF(F15="1-3 ans",IF(C15="souverain",2%,3%),IF(F15="3-5 ans",IF(C15="souverain",2%,4%),IF(F15="5-10 ans",IF(C15="souverain",4%,6%),IF(F15="&gt;10 ans",IF(C15="souverain",4%,12%),""))))),IF(E15="A_BBB",IF(F15="&lt;=1 an",IF(C15="souverain",1%,2%),IF(F15="1-3 ans",IF(C15="souverain",3%,4%),IF(F15="3-5 ans",IF(C15="souverain",3%,6%),IF(F15="5-10 ans",IF(C15="souverain",6%,12%),IF(F15="&gt;10 ans",IF(C15="souverain",6%,20%),""))))),IF(E15="BB",IF(C15="souverain",15%,0%),IF(E15="ACTION_BRVM",20%,IF(E15="AUTRE_ACTION",30%,IF(E15="OPCVM","MAX",IF(E15="LIQUIDITE",0%,"")))))))</f>
        <v/>
      </c>
      <c r="I15" s="26">
        <f>IF('Template données'!Q15="EUR",0%,IF('Template données'!Q15="XOF",0%,8%))</f>
        <v/>
      </c>
      <c r="J15" s="145">
        <f>IFERROR('Template données'!O18,0)*(1-IFERROR(G15,0))</f>
        <v/>
      </c>
      <c r="K15" s="145">
        <f>IFERROR('Template données'!P15,0)*(1-IFERROR(G15,0))</f>
        <v/>
      </c>
      <c r="L15" s="145">
        <f>IFERROR(B15,0)*(1-IFERROR(H15,0)-IFERROR(I15,0))</f>
        <v/>
      </c>
      <c r="M15" s="147" t="n"/>
      <c r="N15" s="147" t="n"/>
      <c r="O15" s="147" t="n"/>
      <c r="P15" s="147" t="n"/>
      <c r="Q15" s="147" t="n"/>
      <c r="R15" s="147" t="n"/>
      <c r="S15" s="147" t="n"/>
      <c r="T15" s="147" t="n"/>
      <c r="U15" s="147" t="n"/>
      <c r="V15" s="147" t="n"/>
      <c r="W15" s="147" t="n"/>
      <c r="X15" s="147" t="n"/>
      <c r="Y15" s="147" t="n"/>
      <c r="Z15" s="147" t="n"/>
      <c r="AA15" s="147" t="n"/>
    </row>
    <row r="16">
      <c r="A16" s="5" t="inlineStr">
        <is>
          <t>CP015</t>
        </is>
      </c>
      <c r="B16" s="28" t="n">
        <v>11483948</v>
      </c>
      <c r="C16" s="28" t="inlineStr">
        <is>
          <t>souverain</t>
        </is>
      </c>
      <c r="D16" s="143" t="inlineStr">
        <is>
          <t>liquidite</t>
        </is>
      </c>
      <c r="E16" s="143">
        <f>IF(OR(D16="AAA",D16="AA+",D16="AA",D16="AA-",D16="non_note_etat_umoa"),"AAA_AA",IF(OR(D16="A+",D16="A",D16="A-",D16="BBB+",D16="BBB",D16="BBB-",D16="garanti_brvm",D16="bancaire_non_note"),"A_BBB",IF(OR(D16="BB+",D16="BB",D16="BB-"),"BB",IF(D16="actions_brvm","ACTION_BRVM",IF(D16="autres_actions","AUTRE_ACTION",IF(D16="opcvm","OPCVM",IF(D16="liquidite","LIQUIDITE","")))))))</f>
        <v/>
      </c>
      <c r="F16" s="143" t="inlineStr">
        <is>
          <t>3-5 ans</t>
        </is>
      </c>
      <c r="G16" s="144">
        <f>IF(E16="AAA_AA",IF(F16="&lt;=1 an",IF(C16="souverain",0.5%,1%),IF(F16="1-3 ans",IF(C16="souverain",2%,3%),IF(F16="3-5 ans",IF(C16="souverain",2%,4%),IF(F16="5-10 ans",IF(C16="souverain",4%,6%),IF(F16="&gt;10 ans",IF(C16="souverain",4%,12%),""))))),IF(E16="A_BBB",IF(F16="&lt;=1 an",IF(C16="souverain",1%,2%),IF(F16="1-3 ans",IF(C16="souverain",3%,4%),IF(F16="3-5 ans",IF(C16="souverain",3%,6%),IF(F16="5-10 ans",IF(C16="souverain",6%,12%),IF(F16="&gt;10 ans",IF(C16="souverain",6%,20%),""))))),IF(E16="BB",IF(C16="souverain",15%,0%),IF(E16="ACTION_BRVM",20%,IF(E16="AUTRE_ACTION",30%,IF(E16="OPCVM","MAX",IF(E16="LIQUIDITE",0%,"")))))))</f>
        <v/>
      </c>
      <c r="H16" s="26">
        <f>IF(E16="AAA_AA",IF(F16="&lt;=1 an",IF(C16="souverain",0.5%,1%),IF(F16="1-3 ans",IF(C16="souverain",2%,3%),IF(F16="3-5 ans",IF(C16="souverain",2%,4%),IF(F16="5-10 ans",IF(C16="souverain",4%,6%),IF(F16="&gt;10 ans",IF(C16="souverain",4%,12%),""))))),IF(E16="A_BBB",IF(F16="&lt;=1 an",IF(C16="souverain",1%,2%),IF(F16="1-3 ans",IF(C16="souverain",3%,4%),IF(F16="3-5 ans",IF(C16="souverain",3%,6%),IF(F16="5-10 ans",IF(C16="souverain",6%,12%),IF(F16="&gt;10 ans",IF(C16="souverain",6%,20%),""))))),IF(E16="BB",IF(C16="souverain",15%,0%),IF(E16="ACTION_BRVM",20%,IF(E16="AUTRE_ACTION",30%,IF(E16="OPCVM","MAX",IF(E16="LIQUIDITE",0%,"")))))))</f>
        <v/>
      </c>
      <c r="I16" s="26">
        <f>IF('Template données'!Q16="EUR",0%,IF('Template données'!Q16="XOF",0%,8%))</f>
        <v/>
      </c>
      <c r="J16" s="145">
        <f>IFERROR('Template données'!O19,0)*(1-IFERROR(G16,0))</f>
        <v/>
      </c>
      <c r="K16" s="145">
        <f>IFERROR('Template données'!P16,0)*(1-IFERROR(G16,0))</f>
        <v/>
      </c>
      <c r="L16" s="145">
        <f>IFERROR(B16,0)*(1-IFERROR(H16,0)-IFERROR(I16,0))</f>
        <v/>
      </c>
    </row>
    <row r="17">
      <c r="A17" s="5" t="inlineStr">
        <is>
          <t>CP016</t>
        </is>
      </c>
      <c r="B17" s="28" t="n">
        <v>1666778</v>
      </c>
      <c r="C17" s="28" t="inlineStr">
        <is>
          <t>souverain</t>
        </is>
      </c>
      <c r="D17" s="28" t="inlineStr">
        <is>
          <t>actions_brvm</t>
        </is>
      </c>
      <c r="E17" s="28">
        <f>IF(OR(D17="AAA",D17="AA+",D17="AA",D17="AA-",D17="non_note_etat_umoa"),"AAA_AA",IF(OR(D17="A+",D17="A",D17="A-",D17="BBB+",D17="BBB",D17="BBB-",D17="garanti_brvm",D17="bancaire_non_note"),"A_BBB",IF(OR(D17="BB+",D17="BB",D17="BB-"),"BB",IF(D17="actions_brvm","ACTION_BRVM",IF(D17="autres_actions","AUTRE_ACTION",IF(D17="opcvm","OPCVM",IF(D17="liquidite","LIQUIDITE","")))))))</f>
        <v/>
      </c>
      <c r="F17" s="28" t="inlineStr">
        <is>
          <t>3-5 ans</t>
        </is>
      </c>
      <c r="G17" s="26">
        <f>IF(E17="AAA_AA",IF(F17="&lt;=1 an",IF(C17="souverain",0.5%,1%),IF(F17="1-3 ans",IF(C17="souverain",2%,3%),IF(F17="3-5 ans",IF(C17="souverain",2%,4%),IF(F17="5-10 ans",IF(C17="souverain",4%,6%),IF(F17="&gt;10 ans",IF(C17="souverain",4%,12%),""))))),IF(E17="A_BBB",IF(F17="&lt;=1 an",IF(C17="souverain",1%,2%),IF(F17="1-3 ans",IF(C17="souverain",3%,4%),IF(F17="3-5 ans",IF(C17="souverain",3%,6%),IF(F17="5-10 ans",IF(C17="souverain",6%,12%),IF(F17="&gt;10 ans",IF(C17="souverain",6%,20%),""))))),IF(E17="BB",IF(C17="souverain",15%,0%),IF(E17="ACTION_BRVM",20%,IF(E17="AUTRE_ACTION",30%,IF(E17="OPCVM","MAX",IF(E17="LIQUIDITE",0%,"")))))))</f>
        <v/>
      </c>
      <c r="H17" s="26">
        <f>IF(E17="AAA_AA",IF(F17="&lt;=1 an",IF(C17="souverain",0.5%,1%),IF(F17="1-3 ans",IF(C17="souverain",2%,3%),IF(F17="3-5 ans",IF(C17="souverain",2%,4%),IF(F17="5-10 ans",IF(C17="souverain",4%,6%),IF(F17="&gt;10 ans",IF(C17="souverain",4%,12%),""))))),IF(E17="A_BBB",IF(F17="&lt;=1 an",IF(C17="souverain",1%,2%),IF(F17="1-3 ans",IF(C17="souverain",3%,4%),IF(F17="3-5 ans",IF(C17="souverain",3%,6%),IF(F17="5-10 ans",IF(C17="souverain",6%,12%),IF(F17="&gt;10 ans",IF(C17="souverain",6%,20%),""))))),IF(E17="BB",IF(C17="souverain",15%,0%),IF(E17="ACTION_BRVM",20%,IF(E17="AUTRE_ACTION",30%,IF(E17="OPCVM","MAX",IF(E17="LIQUIDITE",0%,"")))))))</f>
        <v/>
      </c>
      <c r="I17" s="26">
        <f>IF('Template données'!Q17="EUR",0%,IF('Template données'!Q17="XOF",0%,8%))</f>
        <v/>
      </c>
      <c r="J17" s="145">
        <f>IFERROR('Template données'!O20,0)*(1-IFERROR(G17,0))</f>
        <v/>
      </c>
      <c r="K17" s="145">
        <f>IFERROR('Template données'!P17,0)*(1-IFERROR(G17,0))</f>
        <v/>
      </c>
      <c r="L17" s="145">
        <f>IFERROR(B17,0)*(1-IFERROR(H17,0)-IFERROR(I17,0))</f>
        <v/>
      </c>
    </row>
    <row r="18">
      <c r="A18" s="5" t="inlineStr">
        <is>
          <t>CP017</t>
        </is>
      </c>
      <c r="B18" s="28" t="n">
        <v>1455863</v>
      </c>
      <c r="C18" s="28" t="inlineStr">
        <is>
          <t>souverain</t>
        </is>
      </c>
      <c r="D18" s="28" t="inlineStr">
        <is>
          <t>autres_actions</t>
        </is>
      </c>
      <c r="E18" s="28">
        <f>IF(OR(D18="AAA",D18="AA+",D18="AA",D18="AA-",D18="non_note_etat_umoa"),"AAA_AA",IF(OR(D18="A+",D18="A",D18="A-",D18="BBB+",D18="BBB",D18="BBB-",D18="garanti_brvm",D18="bancaire_non_note"),"A_BBB",IF(OR(D18="BB+",D18="BB",D18="BB-"),"BB",IF(D18="actions_brvm","ACTION_BRVM",IF(D18="autres_actions","AUTRE_ACTION",IF(D18="opcvm","OPCVM",IF(D18="liquidite","LIQUIDITE","")))))))</f>
        <v/>
      </c>
      <c r="F18" s="28" t="inlineStr">
        <is>
          <t>3-5 ans</t>
        </is>
      </c>
      <c r="G18" s="26">
        <f>IF(E18="AAA_AA",IF(F18="&lt;=1 an",IF(C18="souverain",0.5%,1%),IF(F18="1-3 ans",IF(C18="souverain",2%,3%),IF(F18="3-5 ans",IF(C18="souverain",2%,4%),IF(F18="5-10 ans",IF(C18="souverain",4%,6%),IF(F18="&gt;10 ans",IF(C18="souverain",4%,12%),""))))),IF(E18="A_BBB",IF(F18="&lt;=1 an",IF(C18="souverain",1%,2%),IF(F18="1-3 ans",IF(C18="souverain",3%,4%),IF(F18="3-5 ans",IF(C18="souverain",3%,6%),IF(F18="5-10 ans",IF(C18="souverain",6%,12%),IF(F18="&gt;10 ans",IF(C18="souverain",6%,20%),""))))),IF(E18="BB",IF(C18="souverain",15%,0%),IF(E18="ACTION_BRVM",20%,IF(E18="AUTRE_ACTION",30%,IF(E18="OPCVM","MAX",IF(E18="LIQUIDITE",0%,"")))))))</f>
        <v/>
      </c>
      <c r="H18" s="26">
        <f>IF(E18="AAA_AA",IF(F18="&lt;=1 an",IF(C18="souverain",0.5%,1%),IF(F18="1-3 ans",IF(C18="souverain",2%,3%),IF(F18="3-5 ans",IF(C18="souverain",2%,4%),IF(F18="5-10 ans",IF(C18="souverain",4%,6%),IF(F18="&gt;10 ans",IF(C18="souverain",4%,12%),""))))),IF(E18="A_BBB",IF(F18="&lt;=1 an",IF(C18="souverain",1%,2%),IF(F18="1-3 ans",IF(C18="souverain",3%,4%),IF(F18="3-5 ans",IF(C18="souverain",3%,6%),IF(F18="5-10 ans",IF(C18="souverain",6%,12%),IF(F18="&gt;10 ans",IF(C18="souverain",6%,20%),""))))),IF(E18="BB",IF(C18="souverain",15%,0%),IF(E18="ACTION_BRVM",20%,IF(E18="AUTRE_ACTION",30%,IF(E18="OPCVM","MAX",IF(E18="LIQUIDITE",0%,"")))))))</f>
        <v/>
      </c>
      <c r="I18" s="26">
        <f>IF('Template données'!Q18="EUR",0%,IF('Template données'!Q18="XOF",0%,8%))</f>
        <v/>
      </c>
      <c r="J18" s="145">
        <f>IFERROR('Template données'!O21,0)*(1-IFERROR(G18,0))</f>
        <v/>
      </c>
      <c r="K18" s="145">
        <f>IFERROR('Template données'!P18,0)*(1-IFERROR(G18,0))</f>
        <v/>
      </c>
      <c r="L18" s="145">
        <f>IFERROR(B18,0)*(1-IFERROR(H18,0)-IFERROR(I18,0))</f>
        <v/>
      </c>
    </row>
    <row r="19">
      <c r="A19" s="5" t="inlineStr">
        <is>
          <t>CP018</t>
        </is>
      </c>
      <c r="B19" s="28" t="n">
        <v>1244948</v>
      </c>
      <c r="C19" s="28" t="inlineStr">
        <is>
          <t>souverain</t>
        </is>
      </c>
      <c r="D19" s="28" t="inlineStr">
        <is>
          <t>liquidite</t>
        </is>
      </c>
      <c r="E19" s="28">
        <f>IF(OR(D19="AAA",D19="AA+",D19="AA",D19="AA-",D19="non_note_etat_umoa"),"AAA_AA",IF(OR(D19="A+",D19="A",D19="A-",D19="BBB+",D19="BBB",D19="BBB-",D19="garanti_brvm",D19="bancaire_non_note"),"A_BBB",IF(OR(D19="BB+",D19="BB",D19="BB-"),"BB",IF(D19="actions_brvm","ACTION_BRVM",IF(D19="autres_actions","AUTRE_ACTION",IF(D19="opcvm","OPCVM",IF(D19="liquidite","LIQUIDITE","")))))))</f>
        <v/>
      </c>
      <c r="F19" s="28" t="inlineStr">
        <is>
          <t>3-5 ans</t>
        </is>
      </c>
      <c r="G19" s="26">
        <f>IF(E19="AAA_AA",IF(F19="&lt;=1 an",IF(C19="souverain",0.5%,1%),IF(F19="1-3 ans",IF(C19="souverain",2%,3%),IF(F19="3-5 ans",IF(C19="souverain",2%,4%),IF(F19="5-10 ans",IF(C19="souverain",4%,6%),IF(F19="&gt;10 ans",IF(C19="souverain",4%,12%),""))))),IF(E19="A_BBB",IF(F19="&lt;=1 an",IF(C19="souverain",1%,2%),IF(F19="1-3 ans",IF(C19="souverain",3%,4%),IF(F19="3-5 ans",IF(C19="souverain",3%,6%),IF(F19="5-10 ans",IF(C19="souverain",6%,12%),IF(F19="&gt;10 ans",IF(C19="souverain",6%,20%),""))))),IF(E19="BB",IF(C19="souverain",15%,0%),IF(E19="ACTION_BRVM",20%,IF(E19="AUTRE_ACTION",30%,IF(E19="OPCVM","MAX",IF(E19="LIQUIDITE",0%,"")))))))</f>
        <v/>
      </c>
      <c r="H19" s="26">
        <f>IF(E19="AAA_AA",IF(F19="&lt;=1 an",IF(C19="souverain",0.5%,1%),IF(F19="1-3 ans",IF(C19="souverain",2%,3%),IF(F19="3-5 ans",IF(C19="souverain",2%,4%),IF(F19="5-10 ans",IF(C19="souverain",4%,6%),IF(F19="&gt;10 ans",IF(C19="souverain",4%,12%),""))))),IF(E19="A_BBB",IF(F19="&lt;=1 an",IF(C19="souverain",1%,2%),IF(F19="1-3 ans",IF(C19="souverain",3%,4%),IF(F19="3-5 ans",IF(C19="souverain",3%,6%),IF(F19="5-10 ans",IF(C19="souverain",6%,12%),IF(F19="&gt;10 ans",IF(C19="souverain",6%,20%),""))))),IF(E19="BB",IF(C19="souverain",15%,0%),IF(E19="ACTION_BRVM",20%,IF(E19="AUTRE_ACTION",30%,IF(E19="OPCVM","MAX",IF(E19="LIQUIDITE",0%,"")))))))</f>
        <v/>
      </c>
      <c r="I19" s="26">
        <f>IF('Template données'!Q19="EUR",0%,IF('Template données'!Q19="XOF",0%,8%))</f>
        <v/>
      </c>
      <c r="J19" s="145">
        <f>IFERROR('Template données'!O22,0)*(1-IFERROR(G19,0))</f>
        <v/>
      </c>
      <c r="K19" s="145">
        <f>IFERROR('Template données'!P19,0)*(1-IFERROR(G19,0))</f>
        <v/>
      </c>
      <c r="L19" s="145">
        <f>IFERROR(B19,0)*(1-IFERROR(H19,0)-IFERROR(I19,0))</f>
        <v/>
      </c>
    </row>
  </sheetData>
  <dataValidations count="6">
    <dataValidation sqref="F2:F19" showDropDown="0" showInputMessage="0" showErrorMessage="0" allowBlank="0" type="list">
      <formula1>"&lt;=1 an,1-3 ans,3-5 ans,5-10 ans,&gt;10 ans"</formula1>
    </dataValidation>
    <dataValidation sqref="D2:D19" showDropDown="0" showInputMessage="0" showErrorMessage="0" allowBlank="0" type="list">
      <formula1>"AAA,AA+,AA,AA-,A+,A,A-,BBB+,BBB,BBB-,BB+,BB,BB-,non_note_etat_umoa,garanti_brvm,bancaire_non_note,actions_brvm,autres_actions,opcvm,liquidite"</formula1>
    </dataValidation>
    <dataValidation sqref="C2:C19" showDropDown="0" showInputMessage="0" showErrorMessage="0" allowBlank="0" type="list">
      <formula1>"souverain,autre"</formula1>
    </dataValidation>
    <dataValidation sqref="AB2:AB2001" showDropDown="0" showInputMessage="0" showErrorMessage="1" allowBlank="1" errorTitle="Valeur non reconnue" error="Choisissez une valeur dans la liste deroulante pour que le calcul prudentiel s'applique a cette ligne." type="list">
      <formula1>"XOF,EUR,USD"</formula1>
    </dataValidation>
    <dataValidation sqref="AC2:AC2001" showDropDown="0" showInputMessage="0" showErrorMessage="1" allowBlank="1" errorTitle="Valeur non reconnue" error="Choisissez une valeur dans la liste deroulante pour que le calcul prudentiel s'applique a cette ligne." type="list">
      <formula1>'Listes (completees)'!$B$3:$B$17</formula1>
    </dataValidation>
    <dataValidation sqref="AE2:AE2001" showDropDown="0" showInputMessage="0" showErrorMessage="1" allowBlank="1" errorTitle="Valeur non reconnue" error="Choisissez une valeur dans la liste deroulante pour que le calcul prudentiel s'applique a cette ligne." type="list">
      <formula1>"0.0,0.005,0.01,0.02,0.03,0.04,0.06,0.09,0.12,0.15,0.2,0.3"</formula1>
    </dataValidation>
  </dataValidations>
  <pageMargins left="0.7" right="0.7" top="0.75" bottom="0.75" header="0.3" footer="0.3"/>
</worksheet>
</file>

<file path=xl/worksheets/sheet3.xml><?xml version="1.0" encoding="utf-8"?>
<worksheet xmlns="http://schemas.openxmlformats.org/spreadsheetml/2006/main">
  <sheetPr codeName="Feuil4">
    <tabColor rgb="FFC00000"/>
    <outlinePr summaryBelow="1" summaryRight="1"/>
    <pageSetUpPr/>
  </sheetPr>
  <dimension ref="A1:Y19"/>
  <sheetViews>
    <sheetView topLeftCell="I1" workbookViewId="0">
      <selection activeCell="N6" sqref="N6"/>
    </sheetView>
  </sheetViews>
  <sheetFormatPr baseColWidth="10" defaultRowHeight="15.5"/>
  <cols>
    <col width="14.1796875" bestFit="1" customWidth="1" style="146" min="1" max="1"/>
    <col width="16" customWidth="1" style="147" min="2" max="2"/>
    <col width="15.81640625" customWidth="1" style="147" min="3" max="3"/>
    <col width="20.1796875" customWidth="1" style="147" min="4" max="4"/>
    <col width="19.453125" customWidth="1" style="147" min="5" max="5"/>
    <col width="26.36328125" customWidth="1" style="147" min="6" max="6"/>
    <col width="33.90625" customWidth="1" style="147" min="7" max="7"/>
    <col width="22.7265625" bestFit="1" customWidth="1" style="147" min="8" max="8"/>
    <col width="19.90625" customWidth="1" style="147" min="9" max="9"/>
    <col width="21" customWidth="1" style="147" min="10" max="10"/>
    <col width="19.90625" customWidth="1" style="150" min="11" max="11"/>
    <col width="22.08984375" customWidth="1" style="147" min="12" max="12"/>
    <col width="21.81640625" customWidth="1" style="150" min="13" max="13"/>
    <col width="24.6328125" customWidth="1" style="150" min="14" max="14"/>
    <col width="18.6328125" customWidth="1" style="150" min="15" max="15"/>
    <col width="10.90625" customWidth="1" style="147" min="16" max="16384"/>
    <col width="23" customWidth="1" style="173" min="24" max="24"/>
    <col width="17" customWidth="1" style="173" min="25" max="25"/>
  </cols>
  <sheetData>
    <row r="1" s="173">
      <c r="A1" s="23" t="inlineStr">
        <is>
          <t>ID_Exposition</t>
        </is>
      </c>
      <c r="B1" s="24" t="inlineStr">
        <is>
          <t>Nom du garant</t>
        </is>
      </c>
      <c r="C1" s="24" t="inlineStr">
        <is>
          <t>Note_garant</t>
        </is>
      </c>
      <c r="D1" s="24" t="inlineStr">
        <is>
          <t>Pays_garant</t>
        </is>
      </c>
      <c r="E1" s="24" t="inlineStr">
        <is>
          <t>Note_pays_garant</t>
        </is>
      </c>
      <c r="F1" s="24" t="inlineStr">
        <is>
          <t>Pondération_pays_garant</t>
        </is>
      </c>
      <c r="G1" s="24" t="inlineStr">
        <is>
          <t xml:space="preserve">Catégorie du garant </t>
        </is>
      </c>
      <c r="H1" s="139" t="inlineStr">
        <is>
          <t xml:space="preserve">Pondération du garant </t>
        </is>
      </c>
      <c r="I1" s="24" t="inlineStr">
        <is>
          <t xml:space="preserve">Part couverte </t>
        </is>
      </c>
      <c r="J1" s="24" t="inlineStr">
        <is>
          <t>% Exp_couverte</t>
        </is>
      </c>
      <c r="K1" s="151" t="inlineStr">
        <is>
          <t>Part non couverte</t>
        </is>
      </c>
      <c r="L1" s="24" t="inlineStr">
        <is>
          <t>%Exp_Nn_couverte</t>
        </is>
      </c>
      <c r="M1" s="151" t="inlineStr">
        <is>
          <t>EAD_couverte_HB</t>
        </is>
      </c>
      <c r="N1" s="151" t="inlineStr">
        <is>
          <t>EAD_non_couverte_HB</t>
        </is>
      </c>
      <c r="O1" s="151" t="inlineStr">
        <is>
          <t>RWA_non_fin</t>
        </is>
      </c>
      <c r="P1" s="42" t="n"/>
      <c r="Q1" s="42" t="n"/>
      <c r="R1" s="42" t="n"/>
      <c r="S1" s="42" t="n"/>
      <c r="T1" s="42" t="n"/>
      <c r="U1" s="42" t="n"/>
      <c r="V1" s="42" t="n"/>
      <c r="W1" s="42" t="n"/>
      <c r="X1" s="175" t="inlineStr">
        <is>
          <t>Catégorie du garant</t>
        </is>
      </c>
      <c r="Y1" s="175" t="inlineStr">
        <is>
          <t>Part couverte</t>
        </is>
      </c>
    </row>
    <row r="2" s="173">
      <c r="A2" s="5" t="inlineStr">
        <is>
          <t>CP001</t>
        </is>
      </c>
      <c r="B2" s="131" t="inlineStr">
        <is>
          <t>NSIA BANK</t>
        </is>
      </c>
      <c r="C2" s="132" t="inlineStr">
        <is>
          <t>A-</t>
        </is>
      </c>
      <c r="D2" s="131" t="inlineStr">
        <is>
          <t>BENIN</t>
        </is>
      </c>
      <c r="E2" s="7" t="inlineStr">
        <is>
          <t>&lt; B-</t>
        </is>
      </c>
      <c r="F2" s="26">
        <f>IFERROR(INDEX(Ref_Ponderation!$B$3:$B$20,MATCH(TRIM(E2),Ref_Ponderation!$A$3:$A$20,0)),"")</f>
        <v/>
      </c>
      <c r="G2" s="7" t="inlineStr">
        <is>
          <t>(c) BMD</t>
        </is>
      </c>
      <c r="H2" s="134">
        <f>IF(G2="","",IF(OR(C2="",C2="Non noté"),MAX(F2,100%),IF(LEFT(G2,3)="(a)",IF(OR(C2="AAA",C2="AA+",C2="AA",C2="AA-"),0%,IF(OR(C2="A+",C2="A",C2="A-"),20%,IF(OR(C2="BBB+",C2="BBB",C2="BBB-"),50%,IF(OR(C2="BB+",C2="BB",C2="BB-",C2="B+",C2="B",C2="B-"),100%,IF(C2="&lt; B-",150%,""))))),IF(LEFT(G2,3)="(b)",IF(OR(C2="AAA",C2="AA+",C2="AA",C2="AA-"),20%,IF(OR(C2="A+",C2="A",C2="A-"),50%,IF(OR(C2="BBB+",C2="BBB",C2="BBB-",C2="BB+",C2="BB",C2="BB-"),100%,150%))),IF(LEFT(G2,3)="(c)",0%,IF(LEFT(G2,3)="(d)",IF(OR(C2="AAA",C2="AA+",C2="AA",C2="AA-"),20%,IF(OR(C2="A+",C2="A",C2="A-",C2="BBB+",C2="BBB",C2="BBB-"),50%,IF(OR(C2="BB+",C2="BB",C2="BB-"),100%,150%))),IF(LEFT(G2,3)="(e)",IF(OR(C2="AAA",C2="AA+",C2="AA",C2="AA-",C2="A+",C2="A",C2="A-"),20%,IF(OR(C2="BBB+",C2="BBB",C2="BBB-"),50%,IF(OR(C2="BB+",C2="BB",C2="BB-",C2="B+",C2="B",C2="B-"),100%,IF(C2="&lt; B-",150%,"")))),IF(LEFT(G2,3)="(f)",75%,IF(LEFT(G2,3)="(g)",35%,IF(LEFT(G2,3)="(h)",100%,IF(LEFT(G2,3)="(i)",150%,IF(LEFT(G2,3)="(j)",150%,IF(LEFT(G2,3)="(k)",100%,IF(LEFT(G2,3)="(l)",IF(OR(C2="AAA",C2="AA+",C2="AA",C2="AA-",C2="A+",C2="A",C2="A-"),20%,IF(OR(C2="BBB+",C2="BBB",C2="BBB-"),50%,IF(OR(C2="BB+",C2="BB",C2="BB-",C2="B+",C2="B",C2="B-"),100%,IF(C2="&lt; B-",150%,"")))),""))))))))))))))</f>
        <v/>
      </c>
      <c r="I2" s="171" t="n">
        <v>559559</v>
      </c>
      <c r="J2" s="170">
        <f>IFERROR( IFERROR(I2,0) / IFERROR('Template données'!O2,1), "Valeur par défaut")</f>
        <v/>
      </c>
      <c r="K2" s="152">
        <f>L2*'Template données'!O2</f>
        <v/>
      </c>
      <c r="L2" s="26">
        <f>MAX(0,100%-J2)</f>
        <v/>
      </c>
      <c r="M2" s="152">
        <f>I2*Traitement_HB!C2</f>
        <v/>
      </c>
      <c r="N2" s="152">
        <f>K2*Traitement_HB!C2</f>
        <v/>
      </c>
      <c r="O2" s="152">
        <f>I2+K2</f>
        <v/>
      </c>
    </row>
    <row r="3" s="173">
      <c r="A3" s="5" t="inlineStr">
        <is>
          <t>CP002</t>
        </is>
      </c>
      <c r="B3" s="131" t="inlineStr">
        <is>
          <t>UBA</t>
        </is>
      </c>
      <c r="C3" s="7" t="inlineStr">
        <is>
          <t>B</t>
        </is>
      </c>
      <c r="D3" s="7" t="inlineStr">
        <is>
          <t>Côte d'Ivoire</t>
        </is>
      </c>
      <c r="E3" s="7" t="inlineStr">
        <is>
          <t>AAA</t>
        </is>
      </c>
      <c r="F3" s="26">
        <f>IFERROR(INDEX(Ref_Ponderation!$B$3:$B$20,MATCH(TRIM(E3),Ref_Ponderation!$A$3:$A$20,0)),"")</f>
        <v/>
      </c>
      <c r="G3" s="7" t="inlineStr">
        <is>
          <t>(k) autres actifs</t>
        </is>
      </c>
      <c r="H3" s="134">
        <f>IF(G3="","",IF(OR(C3="",C3="Non noté"),MAX(F3,100%),IF(LEFT(G3,3)="(a)",IF(OR(C3="AAA",C3="AA+",C3="AA",C3="AA-"),0%,IF(OR(C3="A+",C3="A",C3="A-"),20%,IF(OR(C3="BBB+",C3="BBB",C3="BBB-"),50%,IF(OR(C3="BB+",C3="BB",C3="BB-",C3="B+",C3="B",C3="B-"),100%,IF(C3="&lt; B-",150%,""))))),IF(LEFT(G3,3)="(b)",IF(OR(C3="AAA",C3="AA+",C3="AA",C3="AA-"),20%,IF(OR(C3="A+",C3="A",C3="A-"),50%,IF(OR(C3="BBB+",C3="BBB",C3="BBB-",C3="BB+",C3="BB",C3="BB-"),100%,150%))),IF(LEFT(G3,3)="(c)",0%,IF(LEFT(G3,3)="(d)",IF(OR(C3="AAA",C3="AA+",C3="AA",C3="AA-"),20%,IF(OR(C3="A+",C3="A",C3="A-",C3="BBB+",C3="BBB",C3="BBB-"),50%,IF(OR(C3="BB+",C3="BB",C3="BB-"),100%,150%))),IF(LEFT(G3,3)="(e)",IF(OR(C3="AAA",C3="AA+",C3="AA",C3="AA-",C3="A+",C3="A",C3="A-"),20%,IF(OR(C3="BBB+",C3="BBB",C3="BBB-"),50%,IF(OR(C3="BB+",C3="BB",C3="BB-",C3="B+",C3="B",C3="B-"),100%,IF(C3="&lt; B-",150%,"")))),IF(LEFT(G3,3)="(f)",75%,IF(LEFT(G3,3)="(g)",35%,IF(LEFT(G3,3)="(h)",100%,IF(LEFT(G3,3)="(i)",150%,IF(LEFT(G3,3)="(j)",150%,IF(LEFT(G3,3)="(k)",100%,IF(LEFT(G3,3)="(l)",IF(OR(C3="AAA",C3="AA+",C3="AA",C3="AA-",C3="A+",C3="A",C3="A-"),20%,IF(OR(C3="BBB+",C3="BBB",C3="BBB-"),50%,IF(OR(C3="BB+",C3="BB",C3="BB-",C3="B+",C3="B",C3="B-"),100%,IF(C3="&lt; B-",150%,"")))),""))))))))))))))</f>
        <v/>
      </c>
      <c r="I3" s="171" t="n">
        <v>765000</v>
      </c>
      <c r="J3" s="170">
        <f>IFERROR( IFERROR(I3,0) / IFERROR('Template données'!O3,1), "Valeur par défaut")</f>
        <v/>
      </c>
      <c r="K3" s="152">
        <f>L3*'Template données'!O3</f>
        <v/>
      </c>
      <c r="L3" s="26">
        <f>MAX(0,100%-J3)</f>
        <v/>
      </c>
      <c r="M3" s="152">
        <f>I3*Traitement_HB!C3</f>
        <v/>
      </c>
      <c r="N3" s="152">
        <f>K3*Traitement_HB!C3</f>
        <v/>
      </c>
      <c r="O3" s="152">
        <f>I3+K3</f>
        <v/>
      </c>
    </row>
    <row r="4" s="173">
      <c r="A4" s="5" t="inlineStr">
        <is>
          <t>CP003</t>
        </is>
      </c>
      <c r="B4" s="131" t="inlineStr">
        <is>
          <t>SENEBANK</t>
        </is>
      </c>
      <c r="C4" s="7" t="inlineStr">
        <is>
          <t>Non noté</t>
        </is>
      </c>
      <c r="D4" s="7" t="inlineStr">
        <is>
          <t>Gabon</t>
        </is>
      </c>
      <c r="E4" s="7" t="inlineStr">
        <is>
          <t>B-</t>
        </is>
      </c>
      <c r="F4" s="26">
        <f>IFERROR(INDEX(Ref_Ponderation!$B$3:$B$20,MATCH(TRIM(E4),Ref_Ponderation!$A$3:$A$20,0)),"")</f>
        <v/>
      </c>
      <c r="G4" s="7" t="inlineStr">
        <is>
          <t>(c) BMD</t>
        </is>
      </c>
      <c r="H4" s="134">
        <f>IF(G4="","",IF(OR(C4="",C4="Non noté"),MAX(F4,100%),IF(LEFT(G4,3)="(a)",IF(OR(C4="AAA",C4="AA+",C4="AA",C4="AA-"),0%,IF(OR(C4="A+",C4="A",C4="A-"),20%,IF(OR(C4="BBB+",C4="BBB",C4="BBB-"),50%,IF(OR(C4="BB+",C4="BB",C4="BB-",C4="B+",C4="B",C4="B-"),100%,IF(C4="&lt; B-",150%,""))))),IF(LEFT(G4,3)="(b)",IF(OR(C4="AAA",C4="AA+",C4="AA",C4="AA-"),20%,IF(OR(C4="A+",C4="A",C4="A-"),50%,IF(OR(C4="BBB+",C4="BBB",C4="BBB-",C4="BB+",C4="BB",C4="BB-"),100%,150%))),IF(LEFT(G4,3)="(c)",0%,IF(LEFT(G4,3)="(d)",IF(OR(C4="AAA",C4="AA+",C4="AA",C4="AA-"),20%,IF(OR(C4="A+",C4="A",C4="A-",C4="BBB+",C4="BBB",C4="BBB-"),50%,IF(OR(C4="BB+",C4="BB",C4="BB-"),100%,150%))),IF(LEFT(G4,3)="(e)",IF(OR(C4="AAA",C4="AA+",C4="AA",C4="AA-",C4="A+",C4="A",C4="A-"),20%,IF(OR(C4="BBB+",C4="BBB",C4="BBB-"),50%,IF(OR(C4="BB+",C4="BB",C4="BB-",C4="B+",C4="B",C4="B-"),100%,IF(C4="&lt; B-",150%,"")))),IF(LEFT(G4,3)="(f)",75%,IF(LEFT(G4,3)="(g)",35%,IF(LEFT(G4,3)="(h)",100%,IF(LEFT(G4,3)="(i)",150%,IF(LEFT(G4,3)="(j)",150%,IF(LEFT(G4,3)="(k)",100%,IF(LEFT(G4,3)="(l)",IF(OR(C4="AAA",C4="AA+",C4="AA",C4="AA-",C4="A+",C4="A",C4="A-"),20%,IF(OR(C4="BBB+",C4="BBB",C4="BBB-"),50%,IF(OR(C4="BB+",C4="BB",C4="BB-",C4="B+",C4="B",C4="B-"),100%,IF(C4="&lt; B-",150%,"")))),""))))))))))))))</f>
        <v/>
      </c>
      <c r="I4" s="171" t="n">
        <v>3647848</v>
      </c>
      <c r="J4" s="170">
        <f>IFERROR( IFERROR(I4,0) / IFERROR('Template données'!O4,1), "Valeur par défaut")</f>
        <v/>
      </c>
      <c r="K4" s="152">
        <f>L4*'Template données'!O4</f>
        <v/>
      </c>
      <c r="L4" s="26">
        <f>MAX(0,100%-J4)</f>
        <v/>
      </c>
      <c r="M4" s="152">
        <f>I4*Traitement_HB!C4</f>
        <v/>
      </c>
      <c r="N4" s="152">
        <f>K4*Traitement_HB!C4</f>
        <v/>
      </c>
      <c r="O4" s="152">
        <f>I4+K4</f>
        <v/>
      </c>
    </row>
    <row r="5" s="173">
      <c r="A5" s="5" t="inlineStr">
        <is>
          <t>CP004</t>
        </is>
      </c>
      <c r="B5" s="131" t="inlineStr">
        <is>
          <t>Childreen Bank</t>
        </is>
      </c>
      <c r="C5" s="7" t="inlineStr">
        <is>
          <t>AAA</t>
        </is>
      </c>
      <c r="D5" s="7" t="inlineStr">
        <is>
          <t>Côte d’Ivoire</t>
        </is>
      </c>
      <c r="E5" s="7" t="inlineStr">
        <is>
          <t>BB+</t>
        </is>
      </c>
      <c r="F5" s="26">
        <f>IFERROR(INDEX(Ref_Ponderation!$B$3:$B$20,MATCH(TRIM(E5),Ref_Ponderation!$A$3:$A$20,0)),"")</f>
        <v/>
      </c>
      <c r="G5" s="7" t="inlineStr">
        <is>
          <t>(b) organismes pub. hors Adm c</t>
        </is>
      </c>
      <c r="H5" s="134">
        <f>IF(G5="","",IF(OR(C5="",C5="Non noté"),MAX(F5,100%),IF(LEFT(G5,3)="(a)",IF(OR(C5="AAA",C5="AA+",C5="AA",C5="AA-"),0%,IF(OR(C5="A+",C5="A",C5="A-"),20%,IF(OR(C5="BBB+",C5="BBB",C5="BBB-"),50%,IF(OR(C5="BB+",C5="BB",C5="BB-",C5="B+",C5="B",C5="B-"),100%,IF(C5="&lt; B-",150%,""))))),IF(LEFT(G5,3)="(b)",IF(OR(C5="AAA",C5="AA+",C5="AA",C5="AA-"),20%,IF(OR(C5="A+",C5="A",C5="A-"),50%,IF(OR(C5="BBB+",C5="BBB",C5="BBB-",C5="BB+",C5="BB",C5="BB-"),100%,150%))),IF(LEFT(G5,3)="(c)",0%,IF(LEFT(G5,3)="(d)",IF(OR(C5="AAA",C5="AA+",C5="AA",C5="AA-"),20%,IF(OR(C5="A+",C5="A",C5="A-",C5="BBB+",C5="BBB",C5="BBB-"),50%,IF(OR(C5="BB+",C5="BB",C5="BB-"),100%,150%))),IF(LEFT(G5,3)="(e)",IF(OR(C5="AAA",C5="AA+",C5="AA",C5="AA-",C5="A+",C5="A",C5="A-"),20%,IF(OR(C5="BBB+",C5="BBB",C5="BBB-"),50%,IF(OR(C5="BB+",C5="BB",C5="BB-",C5="B+",C5="B",C5="B-"),100%,IF(C5="&lt; B-",150%,"")))),IF(LEFT(G5,3)="(f)",75%,IF(LEFT(G5,3)="(g)",35%,IF(LEFT(G5,3)="(h)",100%,IF(LEFT(G5,3)="(i)",150%,IF(LEFT(G5,3)="(j)",150%,IF(LEFT(G5,3)="(k)",100%,IF(LEFT(G5,3)="(l)",IF(OR(C5="AAA",C5="AA+",C5="AA",C5="AA-",C5="A+",C5="A",C5="A-"),20%,IF(OR(C5="BBB+",C5="BBB",C5="BBB-"),50%,IF(OR(C5="BB+",C5="BB",C5="BB-",C5="B+",C5="B",C5="B-"),100%,IF(C5="&lt; B-",150%,"")))),""))))))))))))))</f>
        <v/>
      </c>
      <c r="I5" s="171" t="n">
        <v>485505959</v>
      </c>
      <c r="J5" s="170">
        <f>IFERROR( IFERROR(I5,0) / IFERROR('Template données'!O5,1), "Valeur par défaut")</f>
        <v/>
      </c>
      <c r="K5" s="152">
        <f>L5*'Template données'!O5</f>
        <v/>
      </c>
      <c r="L5" s="26">
        <f>MAX(0,100%-J5)</f>
        <v/>
      </c>
      <c r="M5" s="152">
        <f>I5*Traitement_HB!C5</f>
        <v/>
      </c>
      <c r="N5" s="152">
        <f>K5*Traitement_HB!C5</f>
        <v/>
      </c>
      <c r="O5" s="152">
        <f>I5+K5</f>
        <v/>
      </c>
    </row>
    <row r="6" s="173">
      <c r="A6" s="5" t="inlineStr">
        <is>
          <t>CP005</t>
        </is>
      </c>
      <c r="B6" s="131" t="inlineStr">
        <is>
          <t>Heymann's Inc</t>
        </is>
      </c>
      <c r="C6" s="7" t="inlineStr">
        <is>
          <t>B</t>
        </is>
      </c>
      <c r="D6" s="7" t="inlineStr">
        <is>
          <t>Mali</t>
        </is>
      </c>
      <c r="E6" s="7" t="inlineStr">
        <is>
          <t>BBB-</t>
        </is>
      </c>
      <c r="F6" s="26">
        <f>IFERROR(INDEX(Ref_Ponderation!$B$3:$B$20,MATCH(TRIM(E6),Ref_Ponderation!$A$3:$A$20,0)),"")</f>
        <v/>
      </c>
      <c r="G6" s="7" t="inlineStr">
        <is>
          <t>(e) entreprises</t>
        </is>
      </c>
      <c r="H6" s="134">
        <f>IF(G6="","",IF(OR(C6="",C6="Non noté"),MAX(F6,100%),IF(LEFT(G6,3)="(a)",IF(OR(C6="AAA",C6="AA+",C6="AA",C6="AA-"),0%,IF(OR(C6="A+",C6="A",C6="A-"),20%,IF(OR(C6="BBB+",C6="BBB",C6="BBB-"),50%,IF(OR(C6="BB+",C6="BB",C6="BB-",C6="B+",C6="B",C6="B-"),100%,IF(C6="&lt; B-",150%,""))))),IF(LEFT(G6,3)="(b)",IF(OR(C6="AAA",C6="AA+",C6="AA",C6="AA-"),20%,IF(OR(C6="A+",C6="A",C6="A-"),50%,IF(OR(C6="BBB+",C6="BBB",C6="BBB-",C6="BB+",C6="BB",C6="BB-"),100%,150%))),IF(LEFT(G6,3)="(c)",0%,IF(LEFT(G6,3)="(d)",IF(OR(C6="AAA",C6="AA+",C6="AA",C6="AA-"),20%,IF(OR(C6="A+",C6="A",C6="A-",C6="BBB+",C6="BBB",C6="BBB-"),50%,IF(OR(C6="BB+",C6="BB",C6="BB-"),100%,150%))),IF(LEFT(G6,3)="(e)",IF(OR(C6="AAA",C6="AA+",C6="AA",C6="AA-",C6="A+",C6="A",C6="A-"),20%,IF(OR(C6="BBB+",C6="BBB",C6="BBB-"),50%,IF(OR(C6="BB+",C6="BB",C6="BB-",C6="B+",C6="B",C6="B-"),100%,IF(C6="&lt; B-",150%,"")))),IF(LEFT(G6,3)="(f)",75%,IF(LEFT(G6,3)="(g)",35%,IF(LEFT(G6,3)="(h)",100%,IF(LEFT(G6,3)="(i)",150%,IF(LEFT(G6,3)="(j)",150%,IF(LEFT(G6,3)="(k)",100%,IF(LEFT(G6,3)="(l)",IF(OR(C6="AAA",C6="AA+",C6="AA",C6="AA-",C6="A+",C6="A",C6="A-"),20%,IF(OR(C6="BBB+",C6="BBB",C6="BBB-"),50%,IF(OR(C6="BB+",C6="BB",C6="BB-",C6="B+",C6="B",C6="B-"),100%,IF(C6="&lt; B-",150%,"")))),""))))))))))))))</f>
        <v/>
      </c>
      <c r="I6" s="171" t="n">
        <v>175753000</v>
      </c>
      <c r="J6" s="170">
        <f>IFERROR( IFERROR(I6,0) / IFERROR('Template données'!O6,1), "Valeur par défaut")</f>
        <v/>
      </c>
      <c r="K6" s="152">
        <f>L6*'Template données'!O6</f>
        <v/>
      </c>
      <c r="L6" s="26">
        <f>MAX(0,100%-J6)</f>
        <v/>
      </c>
      <c r="M6" s="152">
        <f>I6*Traitement_HB!C6</f>
        <v/>
      </c>
      <c r="N6" s="152">
        <f>K6*Traitement_HB!C6</f>
        <v/>
      </c>
      <c r="O6" s="152">
        <f>I6+K6</f>
        <v/>
      </c>
    </row>
    <row r="7" s="173">
      <c r="A7" s="5" t="inlineStr">
        <is>
          <t>CP006</t>
        </is>
      </c>
      <c r="B7" s="131" t="inlineStr">
        <is>
          <t>SGBCI LOME</t>
        </is>
      </c>
      <c r="C7" s="7" t="inlineStr">
        <is>
          <t>AA+</t>
        </is>
      </c>
      <c r="D7" s="7" t="inlineStr">
        <is>
          <t>Niger</t>
        </is>
      </c>
      <c r="E7" s="7" t="inlineStr">
        <is>
          <t>&lt; B-</t>
        </is>
      </c>
      <c r="F7" s="26">
        <f>IFERROR(INDEX(Ref_Ponderation!$B$3:$B$20,MATCH(TRIM(E7),Ref_Ponderation!$A$3:$A$20,0)),"")</f>
        <v/>
      </c>
      <c r="G7" s="7" t="inlineStr">
        <is>
          <t>(f) clientèle de détail</t>
        </is>
      </c>
      <c r="H7" s="134">
        <f>IF(G7="","",IF(OR(C7="",C7="Non noté"),MAX(F7,100%),IF(LEFT(G7,3)="(a)",IF(OR(C7="AAA",C7="AA+",C7="AA",C7="AA-"),0%,IF(OR(C7="A+",C7="A",C7="A-"),20%,IF(OR(C7="BBB+",C7="BBB",C7="BBB-"),50%,IF(OR(C7="BB+",C7="BB",C7="BB-",C7="B+",C7="B",C7="B-"),100%,IF(C7="&lt; B-",150%,""))))),IF(LEFT(G7,3)="(b)",IF(OR(C7="AAA",C7="AA+",C7="AA",C7="AA-"),20%,IF(OR(C7="A+",C7="A",C7="A-"),50%,IF(OR(C7="BBB+",C7="BBB",C7="BBB-",C7="BB+",C7="BB",C7="BB-"),100%,150%))),IF(LEFT(G7,3)="(c)",0%,IF(LEFT(G7,3)="(d)",IF(OR(C7="AAA",C7="AA+",C7="AA",C7="AA-"),20%,IF(OR(C7="A+",C7="A",C7="A-",C7="BBB+",C7="BBB",C7="BBB-"),50%,IF(OR(C7="BB+",C7="BB",C7="BB-"),100%,150%))),IF(LEFT(G7,3)="(e)",IF(OR(C7="AAA",C7="AA+",C7="AA",C7="AA-",C7="A+",C7="A",C7="A-"),20%,IF(OR(C7="BBB+",C7="BBB",C7="BBB-"),50%,IF(OR(C7="BB+",C7="BB",C7="BB-",C7="B+",C7="B",C7="B-"),100%,IF(C7="&lt; B-",150%,"")))),IF(LEFT(G7,3)="(f)",75%,IF(LEFT(G7,3)="(g)",35%,IF(LEFT(G7,3)="(h)",100%,IF(LEFT(G7,3)="(i)",150%,IF(LEFT(G7,3)="(j)",150%,IF(LEFT(G7,3)="(k)",100%,IF(LEFT(G7,3)="(l)",IF(OR(C7="AAA",C7="AA+",C7="AA",C7="AA-",C7="A+",C7="A",C7="A-"),20%,IF(OR(C7="BBB+",C7="BBB",C7="BBB-"),50%,IF(OR(C7="BB+",C7="BB",C7="BB-",C7="B+",C7="B",C7="B-"),100%,IF(C7="&lt; B-",150%,"")))),""))))))))))))))</f>
        <v/>
      </c>
      <c r="I7" s="171" t="n">
        <v>37487490</v>
      </c>
      <c r="J7" s="170">
        <f>IFERROR( IFERROR(I7,0) / IFERROR('Template données'!O7,1), "Valeur par défaut")</f>
        <v/>
      </c>
      <c r="K7" s="152">
        <f>L7*'Template données'!O7</f>
        <v/>
      </c>
      <c r="L7" s="26">
        <f>MAX(0,100%-J7)</f>
        <v/>
      </c>
      <c r="M7" s="152">
        <f>I7*Traitement_HB!C7</f>
        <v/>
      </c>
      <c r="N7" s="152">
        <f>K7*Traitement_HB!C7</f>
        <v/>
      </c>
      <c r="O7" s="152">
        <f>I7+K7</f>
        <v/>
      </c>
    </row>
    <row r="8" s="173">
      <c r="A8" s="5" t="inlineStr">
        <is>
          <t>CP007</t>
        </is>
      </c>
      <c r="B8" s="131" t="inlineStr">
        <is>
          <t>VRIDI</t>
        </is>
      </c>
      <c r="C8" s="7" t="inlineStr">
        <is>
          <t>B-</t>
        </is>
      </c>
      <c r="D8" s="7" t="inlineStr">
        <is>
          <t>Togo</t>
        </is>
      </c>
      <c r="E8" s="7" t="inlineStr">
        <is>
          <t>Non noté</t>
        </is>
      </c>
      <c r="F8" s="26">
        <f>IFERROR(INDEX(Ref_Ponderation!$B$3:$B$20,MATCH(TRIM(E8),Ref_Ponderation!$A$3:$A$20,0)),"")</f>
        <v/>
      </c>
      <c r="G8" s="7" t="inlineStr">
        <is>
          <t>(a) souverains</t>
        </is>
      </c>
      <c r="H8" s="134">
        <f>IF(G8="","",IF(OR(C8="",C8="Non noté"),MAX(F8,100%),IF(LEFT(G8,3)="(a)",IF(OR(C8="AAA",C8="AA+",C8="AA",C8="AA-"),0%,IF(OR(C8="A+",C8="A",C8="A-"),20%,IF(OR(C8="BBB+",C8="BBB",C8="BBB-"),50%,IF(OR(C8="BB+",C8="BB",C8="BB-",C8="B+",C8="B",C8="B-"),100%,IF(C8="&lt; B-",150%,""))))),IF(LEFT(G8,3)="(b)",IF(OR(C8="AAA",C8="AA+",C8="AA",C8="AA-"),20%,IF(OR(C8="A+",C8="A",C8="A-"),50%,IF(OR(C8="BBB+",C8="BBB",C8="BBB-",C8="BB+",C8="BB",C8="BB-"),100%,150%))),IF(LEFT(G8,3)="(c)",0%,IF(LEFT(G8,3)="(d)",IF(OR(C8="AAA",C8="AA+",C8="AA",C8="AA-"),20%,IF(OR(C8="A+",C8="A",C8="A-",C8="BBB+",C8="BBB",C8="BBB-"),50%,IF(OR(C8="BB+",C8="BB",C8="BB-"),100%,150%))),IF(LEFT(G8,3)="(e)",IF(OR(C8="AAA",C8="AA+",C8="AA",C8="AA-",C8="A+",C8="A",C8="A-"),20%,IF(OR(C8="BBB+",C8="BBB",C8="BBB-"),50%,IF(OR(C8="BB+",C8="BB",C8="BB-",C8="B+",C8="B",C8="B-"),100%,IF(C8="&lt; B-",150%,"")))),IF(LEFT(G8,3)="(f)",75%,IF(LEFT(G8,3)="(g)",35%,IF(LEFT(G8,3)="(h)",100%,IF(LEFT(G8,3)="(i)",150%,IF(LEFT(G8,3)="(j)",150%,IF(LEFT(G8,3)="(k)",100%,IF(LEFT(G8,3)="(l)",IF(OR(C8="AAA",C8="AA+",C8="AA",C8="AA-",C8="A+",C8="A",C8="A-"),20%,IF(OR(C8="BBB+",C8="BBB",C8="BBB-"),50%,IF(OR(C8="BB+",C8="BB",C8="BB-",C8="B+",C8="B",C8="B-"),100%,IF(C8="&lt; B-",150%,"")))),""))))))))))))))</f>
        <v/>
      </c>
      <c r="I8" s="171" t="n">
        <v>374874903</v>
      </c>
      <c r="J8" s="170">
        <f>IFERROR( IFERROR(I8,0) / IFERROR('Template données'!O8,1), "Valeur par défaut")</f>
        <v/>
      </c>
      <c r="K8" s="152">
        <f>L8*'Template données'!O8</f>
        <v/>
      </c>
      <c r="L8" s="26">
        <f>MAX(0,100%-J8)</f>
        <v/>
      </c>
      <c r="M8" s="152">
        <f>I8*Traitement_HB!C8</f>
        <v/>
      </c>
      <c r="N8" s="152">
        <f>K8*Traitement_HB!C8</f>
        <v/>
      </c>
      <c r="O8" s="152">
        <f>I8+K8</f>
        <v/>
      </c>
    </row>
    <row r="9" s="173">
      <c r="A9" s="5" t="inlineStr">
        <is>
          <t>CP008</t>
        </is>
      </c>
      <c r="B9" s="131" t="inlineStr">
        <is>
          <t>ECM</t>
        </is>
      </c>
      <c r="C9" s="7" t="inlineStr">
        <is>
          <t>BB-</t>
        </is>
      </c>
      <c r="D9" s="7" t="inlineStr">
        <is>
          <t>Guinée-Bissau</t>
        </is>
      </c>
      <c r="E9" s="7" t="inlineStr">
        <is>
          <t>&lt; B-</t>
        </is>
      </c>
      <c r="F9" s="26">
        <f>IFERROR(INDEX(Ref_Ponderation!$B$3:$B$20,MATCH(TRIM(E9),Ref_Ponderation!$A$3:$A$20,0)),"")</f>
        <v/>
      </c>
      <c r="G9" s="7" t="inlineStr">
        <is>
          <t>(b) organismes pub. hors Adm c</t>
        </is>
      </c>
      <c r="H9" s="134">
        <f>IF(G9="","",IF(OR(C9="",C9="Non noté"),MAX(F9,100%),IF(LEFT(G9,3)="(a)",IF(OR(C9="AAA",C9="AA+",C9="AA",C9="AA-"),0%,IF(OR(C9="A+",C9="A",C9="A-"),20%,IF(OR(C9="BBB+",C9="BBB",C9="BBB-"),50%,IF(OR(C9="BB+",C9="BB",C9="BB-",C9="B+",C9="B",C9="B-"),100%,IF(C9="&lt; B-",150%,""))))),IF(LEFT(G9,3)="(b)",IF(OR(C9="AAA",C9="AA+",C9="AA",C9="AA-"),20%,IF(OR(C9="A+",C9="A",C9="A-"),50%,IF(OR(C9="BBB+",C9="BBB",C9="BBB-",C9="BB+",C9="BB",C9="BB-"),100%,150%))),IF(LEFT(G9,3)="(c)",0%,IF(LEFT(G9,3)="(d)",IF(OR(C9="AAA",C9="AA+",C9="AA",C9="AA-"),20%,IF(OR(C9="A+",C9="A",C9="A-",C9="BBB+",C9="BBB",C9="BBB-"),50%,IF(OR(C9="BB+",C9="BB",C9="BB-"),100%,150%))),IF(LEFT(G9,3)="(e)",IF(OR(C9="AAA",C9="AA+",C9="AA",C9="AA-",C9="A+",C9="A",C9="A-"),20%,IF(OR(C9="BBB+",C9="BBB",C9="BBB-"),50%,IF(OR(C9="BB+",C9="BB",C9="BB-",C9="B+",C9="B",C9="B-"),100%,IF(C9="&lt; B-",150%,"")))),IF(LEFT(G9,3)="(f)",75%,IF(LEFT(G9,3)="(g)",35%,IF(LEFT(G9,3)="(h)",100%,IF(LEFT(G9,3)="(i)",150%,IF(LEFT(G9,3)="(j)",150%,IF(LEFT(G9,3)="(k)",100%,IF(LEFT(G9,3)="(l)",IF(OR(C9="AAA",C9="AA+",C9="AA",C9="AA-",C9="A+",C9="A",C9="A-"),20%,IF(OR(C9="BBB+",C9="BBB",C9="BBB-"),50%,IF(OR(C9="BB+",C9="BB",C9="BB-",C9="B+",C9="B",C9="B-"),100%,IF(C9="&lt; B-",150%,"")))),""))))))))))))))</f>
        <v/>
      </c>
      <c r="I9" s="171" t="n">
        <v>24274000</v>
      </c>
      <c r="J9" s="170">
        <f>IFERROR( IFERROR(I9,0) / IFERROR('Template données'!O9,1), "Valeur par défaut")</f>
        <v/>
      </c>
      <c r="K9" s="152">
        <f>L9*'Template données'!O9</f>
        <v/>
      </c>
      <c r="L9" s="26">
        <f>MAX(0,100%-J9)</f>
        <v/>
      </c>
      <c r="M9" s="152">
        <f>I9*Traitement_HB!C9</f>
        <v/>
      </c>
      <c r="N9" s="152">
        <f>K9*Traitement_HB!C9</f>
        <v/>
      </c>
      <c r="O9" s="152">
        <f>I9+K9</f>
        <v/>
      </c>
    </row>
    <row r="10" s="173">
      <c r="A10" s="5" t="inlineStr">
        <is>
          <t>CP009</t>
        </is>
      </c>
      <c r="B10" s="131" t="inlineStr">
        <is>
          <t>TECHNO</t>
        </is>
      </c>
      <c r="C10" s="7" t="inlineStr">
        <is>
          <t>BB-</t>
        </is>
      </c>
      <c r="D10" s="7" t="inlineStr">
        <is>
          <t>Côte d’Ivoire</t>
        </is>
      </c>
      <c r="E10" s="7" t="inlineStr">
        <is>
          <t>AA-</t>
        </is>
      </c>
      <c r="F10" s="26">
        <f>IFERROR(INDEX(Ref_Ponderation!$B$3:$B$20,MATCH(TRIM(E10),Ref_Ponderation!$A$3:$A$20,0)),"")</f>
        <v/>
      </c>
      <c r="G10" s="7" t="inlineStr">
        <is>
          <t>(a) souverains</t>
        </is>
      </c>
      <c r="H10" s="134">
        <f>IF(G10="","",IF(OR(C10="",C10="Non noté"),MAX(F10,100%),IF(LEFT(G10,3)="(a)",IF(OR(C10="AAA",C10="AA+",C10="AA",C10="AA-"),0%,IF(OR(C10="A+",C10="A",C10="A-"),20%,IF(OR(C10="BBB+",C10="BBB",C10="BBB-"),50%,IF(OR(C10="BB+",C10="BB",C10="BB-",C10="B+",C10="B",C10="B-"),100%,IF(C10="&lt; B-",150%,""))))),IF(LEFT(G10,3)="(b)",IF(OR(C10="AAA",C10="AA+",C10="AA",C10="AA-"),20%,IF(OR(C10="A+",C10="A",C10="A-"),50%,IF(OR(C10="BBB+",C10="BBB",C10="BBB-",C10="BB+",C10="BB",C10="BB-"),100%,150%))),IF(LEFT(G10,3)="(c)",0%,IF(LEFT(G10,3)="(d)",IF(OR(C10="AAA",C10="AA+",C10="AA",C10="AA-"),20%,IF(OR(C10="A+",C10="A",C10="A-",C10="BBB+",C10="BBB",C10="BBB-"),50%,IF(OR(C10="BB+",C10="BB",C10="BB-"),100%,150%))),IF(LEFT(G10,3)="(e)",IF(OR(C10="AAA",C10="AA+",C10="AA",C10="AA-",C10="A+",C10="A",C10="A-"),20%,IF(OR(C10="BBB+",C10="BBB",C10="BBB-"),50%,IF(OR(C10="BB+",C10="BB",C10="BB-",C10="B+",C10="B",C10="B-"),100%,IF(C10="&lt; B-",150%,"")))),IF(LEFT(G10,3)="(f)",75%,IF(LEFT(G10,3)="(g)",35%,IF(LEFT(G10,3)="(h)",100%,IF(LEFT(G10,3)="(i)",150%,IF(LEFT(G10,3)="(j)",150%,IF(LEFT(G10,3)="(k)",100%,IF(LEFT(G10,3)="(l)",IF(OR(C10="AAA",C10="AA+",C10="AA",C10="AA-",C10="A+",C10="A",C10="A-"),20%,IF(OR(C10="BBB+",C10="BBB",C10="BBB-"),50%,IF(OR(C10="BB+",C10="BB",C10="BB-",C10="B+",C10="B",C10="B-"),100%,IF(C10="&lt; B-",150%,"")))),""))))))))))))))</f>
        <v/>
      </c>
      <c r="I10" s="171" t="n">
        <v>37487490</v>
      </c>
      <c r="J10" s="170">
        <f>IFERROR( IFERROR(I10,0) / IFERROR('Template données'!O10,1), "Valeur par défaut")</f>
        <v/>
      </c>
      <c r="K10" s="152">
        <f>L10*'Template données'!O10</f>
        <v/>
      </c>
      <c r="L10" s="26">
        <f>MAX(0,100%-J10)</f>
        <v/>
      </c>
      <c r="M10" s="152">
        <f>I10*Traitement_HB!C10</f>
        <v/>
      </c>
      <c r="N10" s="152">
        <f>K10*Traitement_HB!C10</f>
        <v/>
      </c>
      <c r="O10" s="152">
        <f>I10+K10</f>
        <v/>
      </c>
    </row>
    <row r="11" s="173">
      <c r="A11" s="5" t="inlineStr">
        <is>
          <t>CP010</t>
        </is>
      </c>
      <c r="B11" s="131" t="inlineStr">
        <is>
          <t>Apple</t>
        </is>
      </c>
      <c r="C11" s="7" t="inlineStr">
        <is>
          <t>Non noté</t>
        </is>
      </c>
      <c r="D11" s="7" t="inlineStr">
        <is>
          <t>Sénégal</t>
        </is>
      </c>
      <c r="E11" s="7" t="inlineStr">
        <is>
          <t>AA+</t>
        </is>
      </c>
      <c r="F11" s="26">
        <f>IFERROR(INDEX(Ref_Ponderation!$B$3:$B$20,MATCH(TRIM(E11),Ref_Ponderation!$A$3:$A$20,0)),"")</f>
        <v/>
      </c>
      <c r="G11" s="7" t="inlineStr">
        <is>
          <t>(f) clientèle de détail</t>
        </is>
      </c>
      <c r="H11" s="134">
        <f>IF(G11="","",IF(OR(C11="",C11="Non noté"),MAX(F11,100%),IF(LEFT(G11,3)="(a)",IF(OR(C11="AAA",C11="AA+",C11="AA",C11="AA-"),0%,IF(OR(C11="A+",C11="A",C11="A-"),20%,IF(OR(C11="BBB+",C11="BBB",C11="BBB-"),50%,IF(OR(C11="BB+",C11="BB",C11="BB-",C11="B+",C11="B",C11="B-"),100%,IF(C11="&lt; B-",150%,""))))),IF(LEFT(G11,3)="(b)",IF(OR(C11="AAA",C11="AA+",C11="AA",C11="AA-"),20%,IF(OR(C11="A+",C11="A",C11="A-"),50%,IF(OR(C11="BBB+",C11="BBB",C11="BBB-",C11="BB+",C11="BB",C11="BB-"),100%,150%))),IF(LEFT(G11,3)="(c)",0%,IF(LEFT(G11,3)="(d)",IF(OR(C11="AAA",C11="AA+",C11="AA",C11="AA-"),20%,IF(OR(C11="A+",C11="A",C11="A-",C11="BBB+",C11="BBB",C11="BBB-"),50%,IF(OR(C11="BB+",C11="BB",C11="BB-"),100%,150%))),IF(LEFT(G11,3)="(e)",IF(OR(C11="AAA",C11="AA+",C11="AA",C11="AA-",C11="A+",C11="A",C11="A-"),20%,IF(OR(C11="BBB+",C11="BBB",C11="BBB-"),50%,IF(OR(C11="BB+",C11="BB",C11="BB-",C11="B+",C11="B",C11="B-"),100%,IF(C11="&lt; B-",150%,"")))),IF(LEFT(G11,3)="(f)",75%,IF(LEFT(G11,3)="(g)",35%,IF(LEFT(G11,3)="(h)",100%,IF(LEFT(G11,3)="(i)",150%,IF(LEFT(G11,3)="(j)",150%,IF(LEFT(G11,3)="(k)",100%,IF(LEFT(G11,3)="(l)",IF(OR(C11="AAA",C11="AA+",C11="AA",C11="AA-",C11="A+",C11="A",C11="A-"),20%,IF(OR(C11="BBB+",C11="BBB",C11="BBB-"),50%,IF(OR(C11="BB+",C11="BB",C11="BB-",C11="B+",C11="B",C11="B-"),100%,IF(C11="&lt; B-",150%,"")))),""))))))))))))))</f>
        <v/>
      </c>
      <c r="I11" s="171" t="n">
        <v>0</v>
      </c>
      <c r="J11" s="170">
        <f>IFERROR( IFERROR(I11,0) / IFERROR('Template données'!O11,1), "Valeur par défaut")</f>
        <v/>
      </c>
      <c r="K11" s="152">
        <f>L11*'Template données'!O11</f>
        <v/>
      </c>
      <c r="L11" s="26">
        <f>MAX(0,100%-J11)</f>
        <v/>
      </c>
      <c r="M11" s="152">
        <f>I11*Traitement_HB!C11</f>
        <v/>
      </c>
      <c r="N11" s="152">
        <f>K11*Traitement_HB!C11</f>
        <v/>
      </c>
      <c r="O11" s="152">
        <f>I11+K11</f>
        <v/>
      </c>
    </row>
    <row r="12" s="173">
      <c r="A12" s="5" t="inlineStr">
        <is>
          <t>CP011</t>
        </is>
      </c>
      <c r="B12" s="131" t="inlineStr">
        <is>
          <t>SAMSUNG</t>
        </is>
      </c>
      <c r="C12" s="7" t="inlineStr">
        <is>
          <t>&lt; B-</t>
        </is>
      </c>
      <c r="D12" s="7" t="inlineStr">
        <is>
          <t>Bénin</t>
        </is>
      </c>
      <c r="E12" s="7" t="inlineStr">
        <is>
          <t>B+</t>
        </is>
      </c>
      <c r="F12" s="26">
        <f>IFERROR(INDEX(Ref_Ponderation!$B$3:$B$20,MATCH(TRIM(E12),Ref_Ponderation!$A$3:$A$20,0)),"")</f>
        <v/>
      </c>
      <c r="G12" s="7" t="inlineStr">
        <is>
          <t>(a) souverains</t>
        </is>
      </c>
      <c r="H12" s="134">
        <f>IF(G12="","",IF(OR(C12="",C12="Non noté"),MAX(F12,100%),IF(LEFT(G12,3)="(a)",IF(OR(C12="AAA",C12="AA+",C12="AA",C12="AA-"),0%,IF(OR(C12="A+",C12="A",C12="A-"),20%,IF(OR(C12="BBB+",C12="BBB",C12="BBB-"),50%,IF(OR(C12="BB+",C12="BB",C12="BB-",C12="B+",C12="B",C12="B-"),100%,IF(C12="&lt; B-",150%,""))))),IF(LEFT(G12,3)="(b)",IF(OR(C12="AAA",C12="AA+",C12="AA",C12="AA-"),20%,IF(OR(C12="A+",C12="A",C12="A-"),50%,IF(OR(C12="BBB+",C12="BBB",C12="BBB-",C12="BB+",C12="BB",C12="BB-"),100%,150%))),IF(LEFT(G12,3)="(c)",0%,IF(LEFT(G12,3)="(d)",IF(OR(C12="AAA",C12="AA+",C12="AA",C12="AA-"),20%,IF(OR(C12="A+",C12="A",C12="A-",C12="BBB+",C12="BBB",C12="BBB-"),50%,IF(OR(C12="BB+",C12="BB",C12="BB-"),100%,150%))),IF(LEFT(G12,3)="(e)",IF(OR(C12="AAA",C12="AA+",C12="AA",C12="AA-",C12="A+",C12="A",C12="A-"),20%,IF(OR(C12="BBB+",C12="BBB",C12="BBB-"),50%,IF(OR(C12="BB+",C12="BB",C12="BB-",C12="B+",C12="B",C12="B-"),100%,IF(C12="&lt; B-",150%,"")))),IF(LEFT(G12,3)="(f)",75%,IF(LEFT(G12,3)="(g)",35%,IF(LEFT(G12,3)="(h)",100%,IF(LEFT(G12,3)="(i)",150%,IF(LEFT(G12,3)="(j)",150%,IF(LEFT(G12,3)="(k)",100%,IF(LEFT(G12,3)="(l)",IF(OR(C12="AAA",C12="AA+",C12="AA",C12="AA-",C12="A+",C12="A",C12="A-"),20%,IF(OR(C12="BBB+",C12="BBB",C12="BBB-"),50%,IF(OR(C12="BB+",C12="BB",C12="BB-",C12="B+",C12="B",C12="B-"),100%,IF(C12="&lt; B-",150%,"")))),""))))))))))))))</f>
        <v/>
      </c>
      <c r="I12" s="171" t="n">
        <v>43389293</v>
      </c>
      <c r="J12" s="170">
        <f>IFERROR( IFERROR(I12,0) / IFERROR('Template données'!O12,1), "Valeur par défaut")</f>
        <v/>
      </c>
      <c r="K12" s="152">
        <f>L12*'Template données'!O12</f>
        <v/>
      </c>
      <c r="L12" s="26">
        <f>MAX(0,100%-J12)</f>
        <v/>
      </c>
      <c r="M12" s="152">
        <f>I12*Traitement_HB!C12</f>
        <v/>
      </c>
      <c r="N12" s="152">
        <f>K12*Traitement_HB!C12</f>
        <v/>
      </c>
      <c r="O12" s="152">
        <f>I12+K12</f>
        <v/>
      </c>
    </row>
    <row r="13" s="173">
      <c r="A13" s="5" t="inlineStr">
        <is>
          <t>CP012</t>
        </is>
      </c>
      <c r="B13" s="131" t="inlineStr">
        <is>
          <t>COCODYBANK</t>
        </is>
      </c>
      <c r="C13" s="7" t="inlineStr">
        <is>
          <t>AAA</t>
        </is>
      </c>
      <c r="D13" s="7" t="inlineStr">
        <is>
          <t>Burkina Faso</t>
        </is>
      </c>
      <c r="E13" s="7" t="inlineStr">
        <is>
          <t>AA-</t>
        </is>
      </c>
      <c r="F13" s="26">
        <f>IFERROR(INDEX(Ref_Ponderation!$B$3:$B$20,MATCH(TRIM(E13),Ref_Ponderation!$A$3:$A$20,0)),"")</f>
        <v/>
      </c>
      <c r="G13" s="7" t="inlineStr">
        <is>
          <t>(c) BMD</t>
        </is>
      </c>
      <c r="H13" s="134">
        <f>IF(G13="","",IF(OR(C13="",C13="Non noté"),MAX(F13,100%),IF(LEFT(G13,3)="(a)",IF(OR(C13="AAA",C13="AA+",C13="AA",C13="AA-"),0%,IF(OR(C13="A+",C13="A",C13="A-"),20%,IF(OR(C13="BBB+",C13="BBB",C13="BBB-"),50%,IF(OR(C13="BB+",C13="BB",C13="BB-",C13="B+",C13="B",C13="B-"),100%,IF(C13="&lt; B-",150%,""))))),IF(LEFT(G13,3)="(b)",IF(OR(C13="AAA",C13="AA+",C13="AA",C13="AA-"),20%,IF(OR(C13="A+",C13="A",C13="A-"),50%,IF(OR(C13="BBB+",C13="BBB",C13="BBB-",C13="BB+",C13="BB",C13="BB-"),100%,150%))),IF(LEFT(G13,3)="(c)",0%,IF(LEFT(G13,3)="(d)",IF(OR(C13="AAA",C13="AA+",C13="AA",C13="AA-"),20%,IF(OR(C13="A+",C13="A",C13="A-",C13="BBB+",C13="BBB",C13="BBB-"),50%,IF(OR(C13="BB+",C13="BB",C13="BB-"),100%,150%))),IF(LEFT(G13,3)="(e)",IF(OR(C13="AAA",C13="AA+",C13="AA",C13="AA-",C13="A+",C13="A",C13="A-"),20%,IF(OR(C13="BBB+",C13="BBB",C13="BBB-"),50%,IF(OR(C13="BB+",C13="BB",C13="BB-",C13="B+",C13="B",C13="B-"),100%,IF(C13="&lt; B-",150%,"")))),IF(LEFT(G13,3)="(f)",75%,IF(LEFT(G13,3)="(g)",35%,IF(LEFT(G13,3)="(h)",100%,IF(LEFT(G13,3)="(i)",150%,IF(LEFT(G13,3)="(j)",150%,IF(LEFT(G13,3)="(k)",100%,IF(LEFT(G13,3)="(l)",IF(OR(C13="AAA",C13="AA+",C13="AA",C13="AA-",C13="A+",C13="A",C13="A-"),20%,IF(OR(C13="BBB+",C13="BBB",C13="BBB-"),50%,IF(OR(C13="BB+",C13="BB",C13="BB-",C13="B+",C13="B",C13="B-"),100%,IF(C13="&lt; B-",150%,"")))),""))))))))))))))</f>
        <v/>
      </c>
      <c r="I13" s="171" t="n">
        <v>467398400</v>
      </c>
      <c r="J13" s="170">
        <f>IFERROR( IFERROR(I13,0) / IFERROR('Template données'!O13,1), "Valeur par défaut")</f>
        <v/>
      </c>
      <c r="K13" s="152">
        <f>L13*'Template données'!O13</f>
        <v/>
      </c>
      <c r="L13" s="26">
        <f>MAX(0,100%-J13)</f>
        <v/>
      </c>
      <c r="M13" s="152">
        <f>I13*Traitement_HB!C13</f>
        <v/>
      </c>
      <c r="N13" s="152">
        <f>K13*Traitement_HB!C13</f>
        <v/>
      </c>
      <c r="O13" s="152">
        <f>I13+K13</f>
        <v/>
      </c>
    </row>
    <row r="14" s="173">
      <c r="A14" s="5" t="inlineStr">
        <is>
          <t>CP013</t>
        </is>
      </c>
      <c r="B14" s="131" t="inlineStr">
        <is>
          <t>ORAMUS</t>
        </is>
      </c>
      <c r="C14" s="7" t="inlineStr">
        <is>
          <t>A+</t>
        </is>
      </c>
      <c r="D14" s="132" t="inlineStr">
        <is>
          <t>Mali</t>
        </is>
      </c>
      <c r="E14" s="7" t="inlineStr">
        <is>
          <t>BB+</t>
        </is>
      </c>
      <c r="F14" s="26">
        <f>IFERROR(INDEX(Ref_Ponderation!$B$3:$B$20,MATCH(TRIM(E14),Ref_Ponderation!$A$3:$A$20,0)),"")</f>
        <v/>
      </c>
      <c r="G14" s="7" t="inlineStr">
        <is>
          <t>(e) entreprises</t>
        </is>
      </c>
      <c r="H14" s="134">
        <f>IF(G14="","",IF(OR(C14="",C14="Non noté"),MAX(F14,100%),IF(LEFT(G14,3)="(a)",IF(OR(C14="AAA",C14="AA+",C14="AA",C14="AA-"),0%,IF(OR(C14="A+",C14="A",C14="A-"),20%,IF(OR(C14="BBB+",C14="BBB",C14="BBB-"),50%,IF(OR(C14="BB+",C14="BB",C14="BB-",C14="B+",C14="B",C14="B-"),100%,IF(C14="&lt; B-",150%,""))))),IF(LEFT(G14,3)="(b)",IF(OR(C14="AAA",C14="AA+",C14="AA",C14="AA-"),20%,IF(OR(C14="A+",C14="A",C14="A-"),50%,IF(OR(C14="BBB+",C14="BBB",C14="BBB-",C14="BB+",C14="BB",C14="BB-"),100%,150%))),IF(LEFT(G14,3)="(c)",0%,IF(LEFT(G14,3)="(d)",IF(OR(C14="AAA",C14="AA+",C14="AA",C14="AA-"),20%,IF(OR(C14="A+",C14="A",C14="A-",C14="BBB+",C14="BBB",C14="BBB-"),50%,IF(OR(C14="BB+",C14="BB",C14="BB-"),100%,150%))),IF(LEFT(G14,3)="(e)",IF(OR(C14="AAA",C14="AA+",C14="AA",C14="AA-",C14="A+",C14="A",C14="A-"),20%,IF(OR(C14="BBB+",C14="BBB",C14="BBB-"),50%,IF(OR(C14="BB+",C14="BB",C14="BB-",C14="B+",C14="B",C14="B-"),100%,IF(C14="&lt; B-",150%,"")))),IF(LEFT(G14,3)="(f)",75%,IF(LEFT(G14,3)="(g)",35%,IF(LEFT(G14,3)="(h)",100%,IF(LEFT(G14,3)="(i)",150%,IF(LEFT(G14,3)="(j)",150%,IF(LEFT(G14,3)="(k)",100%,IF(LEFT(G14,3)="(l)",IF(OR(C14="AAA",C14="AA+",C14="AA",C14="AA-",C14="A+",C14="A",C14="A-"),20%,IF(OR(C14="BBB+",C14="BBB",C14="BBB-"),50%,IF(OR(C14="BB+",C14="BB",C14="BB-",C14="B+",C14="B",C14="B-"),100%,IF(C14="&lt; B-",150%,"")))),""))))))))))))))</f>
        <v/>
      </c>
      <c r="I14" s="171" t="n">
        <v>0</v>
      </c>
      <c r="J14" s="170">
        <f>IFERROR( IFERROR(I14,0) / IFERROR('Template données'!O14,1), "Valeur par défaut")</f>
        <v/>
      </c>
      <c r="K14" s="152">
        <f>L14*'Template données'!O14</f>
        <v/>
      </c>
      <c r="L14" s="26">
        <f>MAX(0,100%-J14)</f>
        <v/>
      </c>
      <c r="M14" s="152">
        <f>I14*Traitement_HB!C14</f>
        <v/>
      </c>
      <c r="N14" s="152">
        <f>K14*Traitement_HB!C14</f>
        <v/>
      </c>
      <c r="O14" s="152">
        <f>I14+K14</f>
        <v/>
      </c>
    </row>
    <row r="15" s="173">
      <c r="A15" s="5" t="inlineStr">
        <is>
          <t>CP014</t>
        </is>
      </c>
      <c r="B15" s="131" t="inlineStr">
        <is>
          <t>ORAMUS</t>
        </is>
      </c>
      <c r="C15" s="7" t="inlineStr">
        <is>
          <t>Non noté</t>
        </is>
      </c>
      <c r="D15" s="7" t="inlineStr">
        <is>
          <t>Niger</t>
        </is>
      </c>
      <c r="E15" s="7" t="inlineStr">
        <is>
          <t>&lt; B-</t>
        </is>
      </c>
      <c r="F15" s="26">
        <f>IFERROR(INDEX(Ref_Ponderation!$B$3:$B$20,MATCH(TRIM(E15),Ref_Ponderation!$A$3:$A$20,0)),"")</f>
        <v/>
      </c>
      <c r="G15" s="7" t="inlineStr">
        <is>
          <t>(b) organismes pub. hors Adm c</t>
        </is>
      </c>
      <c r="H15" s="134">
        <f>IF(G15="","",IF(OR(C15="",C15="Non noté"),MAX(F15,100%),IF(LEFT(G15,3)="(a)",IF(OR(C15="AAA",C15="AA+",C15="AA",C15="AA-"),0%,IF(OR(C15="A+",C15="A",C15="A-"),20%,IF(OR(C15="BBB+",C15="BBB",C15="BBB-"),50%,IF(OR(C15="BB+",C15="BB",C15="BB-",C15="B+",C15="B",C15="B-"),100%,IF(C15="&lt; B-",150%,""))))),IF(LEFT(G15,3)="(b)",IF(OR(C15="AAA",C15="AA+",C15="AA",C15="AA-"),20%,IF(OR(C15="A+",C15="A",C15="A-"),50%,IF(OR(C15="BBB+",C15="BBB",C15="BBB-",C15="BB+",C15="BB",C15="BB-"),100%,150%))),IF(LEFT(G15,3)="(c)",0%,IF(LEFT(G15,3)="(d)",IF(OR(C15="AAA",C15="AA+",C15="AA",C15="AA-"),20%,IF(OR(C15="A+",C15="A",C15="A-",C15="BBB+",C15="BBB",C15="BBB-"),50%,IF(OR(C15="BB+",C15="BB",C15="BB-"),100%,150%))),IF(LEFT(G15,3)="(e)",IF(OR(C15="AAA",C15="AA+",C15="AA",C15="AA-",C15="A+",C15="A",C15="A-"),20%,IF(OR(C15="BBB+",C15="BBB",C15="BBB-"),50%,IF(OR(C15="BB+",C15="BB",C15="BB-",C15="B+",C15="B",C15="B-"),100%,IF(C15="&lt; B-",150%,"")))),IF(LEFT(G15,3)="(f)",75%,IF(LEFT(G15,3)="(g)",35%,IF(LEFT(G15,3)="(h)",100%,IF(LEFT(G15,3)="(i)",150%,IF(LEFT(G15,3)="(j)",150%,IF(LEFT(G15,3)="(k)",100%,IF(LEFT(G15,3)="(l)",IF(OR(C15="AAA",C15="AA+",C15="AA",C15="AA-",C15="A+",C15="A",C15="A-"),20%,IF(OR(C15="BBB+",C15="BBB",C15="BBB-"),50%,IF(OR(C15="BB+",C15="BB",C15="BB-",C15="B+",C15="B",C15="B-"),100%,IF(C15="&lt; B-",150%,"")))),""))))))))))))))</f>
        <v/>
      </c>
      <c r="I15" s="171" t="n">
        <v>0</v>
      </c>
      <c r="J15" s="170">
        <f>IFERROR( IFERROR(I15,0) / IFERROR('Template données'!O15,1), "Valeur par défaut")</f>
        <v/>
      </c>
      <c r="K15" s="152">
        <f>L15*'Template données'!O15</f>
        <v/>
      </c>
      <c r="L15" s="26">
        <f>MAX(0,100%-J15)</f>
        <v/>
      </c>
      <c r="M15" s="152">
        <f>I15*Traitement_HB!C15</f>
        <v/>
      </c>
      <c r="N15" s="152">
        <f>K15*Traitement_HB!C15</f>
        <v/>
      </c>
      <c r="O15" s="152">
        <f>I15+K15</f>
        <v/>
      </c>
    </row>
    <row r="16">
      <c r="A16" s="5" t="inlineStr">
        <is>
          <t>CP015</t>
        </is>
      </c>
      <c r="B16" s="131" t="inlineStr">
        <is>
          <t>ORAMUS</t>
        </is>
      </c>
      <c r="C16" s="7" t="inlineStr">
        <is>
          <t>BB</t>
        </is>
      </c>
      <c r="D16" s="7" t="inlineStr">
        <is>
          <t>Togo</t>
        </is>
      </c>
      <c r="E16" s="7" t="inlineStr">
        <is>
          <t>A-</t>
        </is>
      </c>
      <c r="F16" s="26">
        <f>IFERROR(INDEX(Ref_Ponderation!$B$3:$B$20,MATCH(TRIM(E16),Ref_Ponderation!$A$3:$A$20,0)),"")</f>
        <v/>
      </c>
      <c r="G16" s="7" t="inlineStr">
        <is>
          <t>(k) autres actifs</t>
        </is>
      </c>
      <c r="H16" s="134">
        <f>IF(G16="","",IF(OR(C16="",C16="Non noté"),MAX(F16,100%),IF(LEFT(G16,3)="(a)",IF(OR(C16="AAA",C16="AA+",C16="AA",C16="AA-"),0%,IF(OR(C16="A+",C16="A",C16="A-"),20%,IF(OR(C16="BBB+",C16="BBB",C16="BBB-"),50%,IF(OR(C16="BB+",C16="BB",C16="BB-",C16="B+",C16="B",C16="B-"),100%,IF(C16="&lt; B-",150%,""))))),IF(LEFT(G16,3)="(b)",IF(OR(C16="AAA",C16="AA+",C16="AA",C16="AA-"),20%,IF(OR(C16="A+",C16="A",C16="A-"),50%,IF(OR(C16="BBB+",C16="BBB",C16="BBB-",C16="BB+",C16="BB",C16="BB-"),100%,150%))),IF(LEFT(G16,3)="(c)",0%,IF(LEFT(G16,3)="(d)",IF(OR(C16="AAA",C16="AA+",C16="AA",C16="AA-"),20%,IF(OR(C16="A+",C16="A",C16="A-",C16="BBB+",C16="BBB",C16="BBB-"),50%,IF(OR(C16="BB+",C16="BB",C16="BB-"),100%,150%))),IF(LEFT(G16,3)="(e)",IF(OR(C16="AAA",C16="AA+",C16="AA",C16="AA-",C16="A+",C16="A",C16="A-"),20%,IF(OR(C16="BBB+",C16="BBB",C16="BBB-"),50%,IF(OR(C16="BB+",C16="BB",C16="BB-",C16="B+",C16="B",C16="B-"),100%,IF(C16="&lt; B-",150%,"")))),IF(LEFT(G16,3)="(f)",75%,IF(LEFT(G16,3)="(g)",35%,IF(LEFT(G16,3)="(h)",100%,IF(LEFT(G16,3)="(i)",150%,IF(LEFT(G16,3)="(j)",150%,IF(LEFT(G16,3)="(k)",100%,IF(LEFT(G16,3)="(l)",IF(OR(C16="AAA",C16="AA+",C16="AA",C16="AA-",C16="A+",C16="A",C16="A-"),20%,IF(OR(C16="BBB+",C16="BBB",C16="BBB-"),50%,IF(OR(C16="BB+",C16="BB",C16="BB-",C16="B+",C16="B",C16="B-"),100%,IF(C16="&lt; B-",150%,"")))),""))))))))))))))</f>
        <v/>
      </c>
      <c r="I16" s="171" t="n">
        <v>0</v>
      </c>
      <c r="J16" s="170">
        <f>IFERROR( IFERROR(I16,0) / IFERROR('Template données'!O16,1), "Valeur par défaut")</f>
        <v/>
      </c>
      <c r="K16" s="152">
        <f>L16*'Template données'!O16</f>
        <v/>
      </c>
      <c r="L16" s="26">
        <f>MAX(0,100%-J16)</f>
        <v/>
      </c>
      <c r="M16" s="152">
        <f>I16*Traitement_HB!C16</f>
        <v/>
      </c>
      <c r="N16" s="152">
        <f>K16*Traitement_HB!C16</f>
        <v/>
      </c>
      <c r="O16" s="152">
        <f>I16+K16</f>
        <v/>
      </c>
    </row>
    <row r="17">
      <c r="A17" s="5" t="inlineStr">
        <is>
          <t>CP016</t>
        </is>
      </c>
      <c r="B17" s="131" t="inlineStr">
        <is>
          <t>ORAMUS</t>
        </is>
      </c>
      <c r="C17" s="7" t="inlineStr">
        <is>
          <t>BB</t>
        </is>
      </c>
      <c r="D17" s="7" t="inlineStr">
        <is>
          <t>Togo</t>
        </is>
      </c>
      <c r="E17" s="7" t="inlineStr">
        <is>
          <t>A-</t>
        </is>
      </c>
      <c r="F17" s="26">
        <f>IFERROR(INDEX(Ref_Ponderation!$B$3:$B$20,MATCH(TRIM(E17),Ref_Ponderation!$A$3:$A$20,0)),"")</f>
        <v/>
      </c>
      <c r="G17" s="7" t="inlineStr">
        <is>
          <t>(k) autres actifs</t>
        </is>
      </c>
      <c r="H17" s="134">
        <f>IF(G17="","",IF(OR(C17="",C17="Non noté"),MAX(F17,100%),IF(LEFT(G17,3)="(a)",IF(OR(C17="AAA",C17="AA+",C17="AA",C17="AA-"),0%,IF(OR(C17="A+",C17="A",C17="A-"),20%,IF(OR(C17="BBB+",C17="BBB",C17="BBB-"),50%,IF(OR(C17="BB+",C17="BB",C17="BB-",C17="B+",C17="B",C17="B-"),100%,IF(C17="&lt; B-",150%,""))))),IF(LEFT(G17,3)="(b)",IF(OR(C17="AAA",C17="AA+",C17="AA",C17="AA-"),20%,IF(OR(C17="A+",C17="A",C17="A-"),50%,IF(OR(C17="BBB+",C17="BBB",C17="BBB-",C17="BB+",C17="BB",C17="BB-"),100%,150%))),IF(LEFT(G17,3)="(c)",0%,IF(LEFT(G17,3)="(d)",IF(OR(C17="AAA",C17="AA+",C17="AA",C17="AA-"),20%,IF(OR(C17="A+",C17="A",C17="A-",C17="BBB+",C17="BBB",C17="BBB-"),50%,IF(OR(C17="BB+",C17="BB",C17="BB-"),100%,150%))),IF(LEFT(G17,3)="(e)",IF(OR(C17="AAA",C17="AA+",C17="AA",C17="AA-",C17="A+",C17="A",C17="A-"),20%,IF(OR(C17="BBB+",C17="BBB",C17="BBB-"),50%,IF(OR(C17="BB+",C17="BB",C17="BB-",C17="B+",C17="B",C17="B-"),100%,IF(C17="&lt; B-",150%,"")))),IF(LEFT(G17,3)="(f)",75%,IF(LEFT(G17,3)="(g)",35%,IF(LEFT(G17,3)="(h)",100%,IF(LEFT(G17,3)="(i)",150%,IF(LEFT(G17,3)="(j)",150%,IF(LEFT(G17,3)="(k)",100%,IF(LEFT(G17,3)="(l)",IF(OR(C17="AAA",C17="AA+",C17="AA",C17="AA-",C17="A+",C17="A",C17="A-"),20%,IF(OR(C17="BBB+",C17="BBB",C17="BBB-"),50%,IF(OR(C17="BB+",C17="BB",C17="BB-",C17="B+",C17="B",C17="B-"),100%,IF(C17="&lt; B-",150%,"")))),""))))))))))))))</f>
        <v/>
      </c>
      <c r="I17" s="171" t="n">
        <v>94020320</v>
      </c>
      <c r="J17" s="170">
        <f>IFERROR( IFERROR(I17,0) / IFERROR('Template données'!O17,1), "Valeur par défaut")</f>
        <v/>
      </c>
      <c r="K17" s="152">
        <f>L17*'Template données'!O17</f>
        <v/>
      </c>
      <c r="L17" s="26">
        <f>MAX(0,100%-J17)</f>
        <v/>
      </c>
      <c r="M17" s="152">
        <f>I17*Traitement_HB!C17</f>
        <v/>
      </c>
      <c r="N17" s="152">
        <f>K17*Traitement_HB!C17</f>
        <v/>
      </c>
      <c r="O17" s="152">
        <f>I17+K17</f>
        <v/>
      </c>
    </row>
    <row r="18">
      <c r="A18" s="5" t="inlineStr">
        <is>
          <t>CP017</t>
        </is>
      </c>
      <c r="B18" s="131" t="inlineStr">
        <is>
          <t>ORAMUS</t>
        </is>
      </c>
      <c r="C18" s="7" t="inlineStr">
        <is>
          <t>BB</t>
        </is>
      </c>
      <c r="D18" s="7" t="inlineStr">
        <is>
          <t>Togo</t>
        </is>
      </c>
      <c r="E18" s="7" t="inlineStr">
        <is>
          <t>A-</t>
        </is>
      </c>
      <c r="F18" s="26">
        <f>IFERROR(INDEX(Ref_Ponderation!$B$3:$B$20,MATCH(TRIM(E18),Ref_Ponderation!$A$3:$A$20,0)),"")</f>
        <v/>
      </c>
      <c r="G18" s="7" t="inlineStr">
        <is>
          <t>(k) autres actifs</t>
        </is>
      </c>
      <c r="H18" s="134">
        <f>IF(G18="","",IF(OR(C18="",C18="Non noté"),MAX(F18,100%),IF(LEFT(G18,3)="(a)",IF(OR(C18="AAA",C18="AA+",C18="AA",C18="AA-"),0%,IF(OR(C18="A+",C18="A",C18="A-"),20%,IF(OR(C18="BBB+",C18="BBB",C18="BBB-"),50%,IF(OR(C18="BB+",C18="BB",C18="BB-",C18="B+",C18="B",C18="B-"),100%,IF(C18="&lt; B-",150%,""))))),IF(LEFT(G18,3)="(b)",IF(OR(C18="AAA",C18="AA+",C18="AA",C18="AA-"),20%,IF(OR(C18="A+",C18="A",C18="A-"),50%,IF(OR(C18="BBB+",C18="BBB",C18="BBB-",C18="BB+",C18="BB",C18="BB-"),100%,150%))),IF(LEFT(G18,3)="(c)",0%,IF(LEFT(G18,3)="(d)",IF(OR(C18="AAA",C18="AA+",C18="AA",C18="AA-"),20%,IF(OR(C18="A+",C18="A",C18="A-",C18="BBB+",C18="BBB",C18="BBB-"),50%,IF(OR(C18="BB+",C18="BB",C18="BB-"),100%,150%))),IF(LEFT(G18,3)="(e)",IF(OR(C18="AAA",C18="AA+",C18="AA",C18="AA-",C18="A+",C18="A",C18="A-"),20%,IF(OR(C18="BBB+",C18="BBB",C18="BBB-"),50%,IF(OR(C18="BB+",C18="BB",C18="BB-",C18="B+",C18="B",C18="B-"),100%,IF(C18="&lt; B-",150%,"")))),IF(LEFT(G18,3)="(f)",75%,IF(LEFT(G18,3)="(g)",35%,IF(LEFT(G18,3)="(h)",100%,IF(LEFT(G18,3)="(i)",150%,IF(LEFT(G18,3)="(j)",150%,IF(LEFT(G18,3)="(k)",100%,IF(LEFT(G18,3)="(l)",IF(OR(C18="AAA",C18="AA+",C18="AA",C18="AA-",C18="A+",C18="A",C18="A-"),20%,IF(OR(C18="BBB+",C18="BBB",C18="BBB-"),50%,IF(OR(C18="BB+",C18="BB",C18="BB-",C18="B+",C18="B",C18="B-"),100%,IF(C18="&lt; B-",150%,"")))),""))))))))))))))</f>
        <v/>
      </c>
      <c r="I18" s="171" t="n">
        <v>938348943</v>
      </c>
      <c r="J18" s="170">
        <f>IFERROR( IFERROR(I18,0) / IFERROR('Template données'!O18,1), "Valeur par défaut")</f>
        <v/>
      </c>
      <c r="K18" s="152">
        <f>L18*'Template données'!O18</f>
        <v/>
      </c>
      <c r="L18" s="26">
        <f>MAX(0,100%-J18)</f>
        <v/>
      </c>
      <c r="M18" s="152">
        <f>I18*Traitement_HB!C18</f>
        <v/>
      </c>
      <c r="N18" s="152">
        <f>K18*Traitement_HB!C18</f>
        <v/>
      </c>
      <c r="O18" s="152">
        <f>I18+K18</f>
        <v/>
      </c>
    </row>
    <row r="19">
      <c r="A19" s="5" t="inlineStr">
        <is>
          <t>CP018</t>
        </is>
      </c>
      <c r="B19" s="131" t="inlineStr">
        <is>
          <t>ORAMUS</t>
        </is>
      </c>
      <c r="C19" s="7" t="inlineStr">
        <is>
          <t>BB</t>
        </is>
      </c>
      <c r="D19" s="7" t="inlineStr">
        <is>
          <t>Togo</t>
        </is>
      </c>
      <c r="E19" s="7" t="inlineStr">
        <is>
          <t>A-</t>
        </is>
      </c>
      <c r="F19" s="26">
        <f>IFERROR(INDEX(Ref_Ponderation!$B$3:$B$20,MATCH(TRIM(E19),Ref_Ponderation!$A$3:$A$20,0)),"")</f>
        <v/>
      </c>
      <c r="G19" s="7" t="inlineStr">
        <is>
          <t>(k) autres actifs</t>
        </is>
      </c>
      <c r="H19" s="134">
        <f>IF(G19="","",IF(OR(C19="",C19="Non noté"),MAX(F19,100%),IF(LEFT(G19,3)="(a)",IF(OR(C19="AAA",C19="AA+",C19="AA",C19="AA-"),0%,IF(OR(C19="A+",C19="A",C19="A-"),20%,IF(OR(C19="BBB+",C19="BBB",C19="BBB-"),50%,IF(OR(C19="BB+",C19="BB",C19="BB-",C19="B+",C19="B",C19="B-"),100%,IF(C19="&lt; B-",150%,""))))),IF(LEFT(G19,3)="(b)",IF(OR(C19="AAA",C19="AA+",C19="AA",C19="AA-"),20%,IF(OR(C19="A+",C19="A",C19="A-"),50%,IF(OR(C19="BBB+",C19="BBB",C19="BBB-",C19="BB+",C19="BB",C19="BB-"),100%,150%))),IF(LEFT(G19,3)="(c)",0%,IF(LEFT(G19,3)="(d)",IF(OR(C19="AAA",C19="AA+",C19="AA",C19="AA-"),20%,IF(OR(C19="A+",C19="A",C19="A-",C19="BBB+",C19="BBB",C19="BBB-"),50%,IF(OR(C19="BB+",C19="BB",C19="BB-"),100%,150%))),IF(LEFT(G19,3)="(e)",IF(OR(C19="AAA",C19="AA+",C19="AA",C19="AA-",C19="A+",C19="A",C19="A-"),20%,IF(OR(C19="BBB+",C19="BBB",C19="BBB-"),50%,IF(OR(C19="BB+",C19="BB",C19="BB-",C19="B+",C19="B",C19="B-"),100%,IF(C19="&lt; B-",150%,"")))),IF(LEFT(G19,3)="(f)",75%,IF(LEFT(G19,3)="(g)",35%,IF(LEFT(G19,3)="(h)",100%,IF(LEFT(G19,3)="(i)",150%,IF(LEFT(G19,3)="(j)",150%,IF(LEFT(G19,3)="(k)",100%,IF(LEFT(G19,3)="(l)",IF(OR(C19="AAA",C19="AA+",C19="AA",C19="AA-",C19="A+",C19="A",C19="A-"),20%,IF(OR(C19="BBB+",C19="BBB",C19="BBB-"),50%,IF(OR(C19="BB+",C19="BB",C19="BB-",C19="B+",C19="B",C19="B-"),100%,IF(C19="&lt; B-",150%,"")))),""))))))))))))))</f>
        <v/>
      </c>
      <c r="I19" s="171" t="n">
        <v>3840203474</v>
      </c>
      <c r="J19" s="170">
        <f>IFERROR( IFERROR(I19,0) / IFERROR('Template données'!O19,1), "Valeur par défaut")</f>
        <v/>
      </c>
      <c r="K19" s="152">
        <f>L19*'Template données'!O19</f>
        <v/>
      </c>
      <c r="L19" s="26">
        <f>MAX(0,100%-J19)</f>
        <v/>
      </c>
      <c r="M19" s="152">
        <f>I19*Traitement_HB!C19</f>
        <v/>
      </c>
      <c r="N19" s="152">
        <f>K19*Traitement_HB!C19</f>
        <v/>
      </c>
      <c r="O19" s="152">
        <f>I19+K19</f>
        <v/>
      </c>
    </row>
  </sheetData>
  <dataValidations count="1">
    <dataValidation sqref="X2:X2001" showDropDown="0" showInputMessage="0" showErrorMessage="1" allowBlank="1" errorTitle="Valeur non reconnue" error="Choisissez une valeur dans la liste deroulante pour que le calcul prudentiel s'applique a cette ligne." type="list">
      <formula1>"Souverains,Organismes pub. hors Adm c,Expositions sur les BMD,Institutions financières,Entreprises,Clientèle de détail,Autres actifs"</formula1>
    </dataValidation>
  </dataValidations>
  <pageMargins left="0.7" right="0.7" top="0.75" bottom="0.75" header="0.3" footer="0.3"/>
</worksheet>
</file>

<file path=xl/worksheets/sheet4.xml><?xml version="1.0" encoding="utf-8"?>
<worksheet xmlns="http://schemas.openxmlformats.org/spreadsheetml/2006/main">
  <sheetPr codeName="Feuil3">
    <tabColor theme="8"/>
    <outlinePr summaryBelow="1" summaryRight="1"/>
    <pageSetUpPr/>
  </sheetPr>
  <dimension ref="A1:U20"/>
  <sheetViews>
    <sheetView workbookViewId="0">
      <selection activeCell="C2" sqref="C2"/>
    </sheetView>
  </sheetViews>
  <sheetFormatPr baseColWidth="10" defaultRowHeight="14.5"/>
  <cols>
    <col width="14.1796875" customWidth="1" style="173" min="1" max="1"/>
    <col width="20.54296875" bestFit="1" customWidth="1" style="173" min="2" max="2"/>
    <col width="25.90625" bestFit="1" customWidth="1" style="173" min="3" max="3"/>
    <col width="23.08984375" bestFit="1" customWidth="1" style="173" min="4" max="4"/>
  </cols>
  <sheetData>
    <row r="1" ht="15.5" customHeight="1" s="173">
      <c r="A1" s="16" t="inlineStr">
        <is>
          <t>ID_Exposition</t>
        </is>
      </c>
      <c r="B1" s="17" t="inlineStr">
        <is>
          <t>Catégorie Hors bilan</t>
        </is>
      </c>
      <c r="C1" s="17" t="inlineStr">
        <is>
          <t>Facteur_conversion (CCF)</t>
        </is>
      </c>
      <c r="D1" s="139" t="inlineStr">
        <is>
          <t>EAD_HB_ccf</t>
        </is>
      </c>
      <c r="E1" s="42" t="n"/>
      <c r="F1" s="42" t="n"/>
      <c r="G1" s="42" t="n"/>
      <c r="H1" s="42" t="n"/>
      <c r="I1" s="42" t="n"/>
      <c r="J1" s="42" t="n"/>
      <c r="K1" s="42" t="n"/>
      <c r="L1" s="42" t="n"/>
      <c r="M1" s="42" t="n"/>
      <c r="N1" s="42" t="n"/>
      <c r="O1" s="42" t="n"/>
      <c r="P1" s="42" t="n"/>
      <c r="Q1" s="42" t="n"/>
      <c r="R1" s="42" t="n"/>
      <c r="S1" s="42" t="n"/>
      <c r="T1" s="42" t="n"/>
      <c r="U1" s="42" t="n"/>
    </row>
    <row r="2" ht="15.5" customHeight="1" s="173">
      <c r="A2" s="5" t="inlineStr">
        <is>
          <t>CP001</t>
        </is>
      </c>
      <c r="B2" s="19" t="inlineStr">
        <is>
          <t>Risque mineur</t>
        </is>
      </c>
      <c r="C2" s="20">
        <f>IFERROR(INDEX(Ref_Ponderation!$Q$3:$Q$7,MATCH(B2,Ref_Ponderation!$P$3:$P$7,0)),"")</f>
        <v/>
      </c>
      <c r="D2" s="148">
        <f>IFERROR('Template données'!P2,0)*IFERROR(C2,0)</f>
        <v/>
      </c>
    </row>
    <row r="3" ht="15.5" customHeight="1" s="173">
      <c r="A3" s="5" t="inlineStr">
        <is>
          <t>CP002</t>
        </is>
      </c>
      <c r="B3" s="19" t="inlineStr">
        <is>
          <t>Risque élevé</t>
        </is>
      </c>
      <c r="C3" s="20">
        <f t="array" ref="C3">IFERROR(INDEX(Ref_Ponderation!$Q$3:$Q$7,MATCH(B3,Ref_Ponderation!$P$3:$P$7,0)),"")</f>
        <v/>
      </c>
      <c r="D3" s="148">
        <f>IFERROR('Template données'!P3,0)*IFERROR(C3,0)</f>
        <v/>
      </c>
    </row>
    <row r="4" ht="15.5" customHeight="1" s="173">
      <c r="A4" s="5" t="inlineStr">
        <is>
          <t>CP003</t>
        </is>
      </c>
      <c r="B4" s="19" t="inlineStr">
        <is>
          <t>Risque élevé</t>
        </is>
      </c>
      <c r="C4" s="20">
        <f t="array" ref="C4">IFERROR(INDEX(Ref_Ponderation!$Q$3:$Q$7,MATCH(B4,Ref_Ponderation!$P$3:$P$7,0)),"")</f>
        <v/>
      </c>
      <c r="D4" s="148">
        <f>IFERROR('Template données'!P4,0)*IFERROR(C4,0)</f>
        <v/>
      </c>
    </row>
    <row r="5" ht="15.5" customHeight="1" s="173">
      <c r="A5" s="5" t="inlineStr">
        <is>
          <t>CP004</t>
        </is>
      </c>
      <c r="B5" s="19" t="inlineStr">
        <is>
          <t>Risque très élevé</t>
        </is>
      </c>
      <c r="C5" s="20">
        <f t="array" ref="C5">IFERROR(INDEX(Ref_Ponderation!$Q$3:$Q$7,MATCH(B5,Ref_Ponderation!$P$3:$P$7,0)),"")</f>
        <v/>
      </c>
      <c r="D5" s="148">
        <f>IFERROR('Template données'!P5,0)*IFERROR(C5,0)</f>
        <v/>
      </c>
    </row>
    <row r="6" ht="15.5" customHeight="1" s="173">
      <c r="A6" s="5" t="inlineStr">
        <is>
          <t>CP005</t>
        </is>
      </c>
      <c r="B6" s="19" t="inlineStr">
        <is>
          <t>Risque élevé</t>
        </is>
      </c>
      <c r="C6" s="20">
        <f t="array" ref="C6">IFERROR(INDEX(Ref_Ponderation!$Q$3:$Q$7,MATCH(B6,Ref_Ponderation!$P$3:$P$7,0)),"")</f>
        <v/>
      </c>
      <c r="D6" s="148">
        <f>IFERROR('Template données'!P6,0)*IFERROR(C6,0)</f>
        <v/>
      </c>
    </row>
    <row r="7" ht="15.5" customHeight="1" s="173">
      <c r="A7" s="5" t="inlineStr">
        <is>
          <t>CP006</t>
        </is>
      </c>
      <c r="B7" s="19" t="inlineStr">
        <is>
          <t>Risque mineur</t>
        </is>
      </c>
      <c r="C7" s="20">
        <f t="array" ref="C7">IFERROR(INDEX(Ref_Ponderation!$Q$3:$Q$7,MATCH(B7,Ref_Ponderation!$P$3:$P$7,0)),"")</f>
        <v/>
      </c>
      <c r="D7" s="148">
        <f>IFERROR('Template données'!P7,0)*IFERROR(C7,0)</f>
        <v/>
      </c>
    </row>
    <row r="8" ht="15.5" customHeight="1" s="173">
      <c r="A8" s="5" t="inlineStr">
        <is>
          <t>CP007</t>
        </is>
      </c>
      <c r="B8" s="19" t="inlineStr">
        <is>
          <t>Risque élevé</t>
        </is>
      </c>
      <c r="C8" s="20">
        <f t="array" ref="C8">IFERROR(INDEX(Ref_Ponderation!$Q$3:$Q$7,MATCH(B8,Ref_Ponderation!$P$3:$P$7,0)),"")</f>
        <v/>
      </c>
      <c r="D8" s="148">
        <f>IFERROR('Template données'!P8,0)*IFERROR(C8,0)</f>
        <v/>
      </c>
    </row>
    <row r="9" ht="15.5" customHeight="1" s="173">
      <c r="A9" s="5" t="inlineStr">
        <is>
          <t>CP008</t>
        </is>
      </c>
      <c r="B9" s="19" t="inlineStr">
        <is>
          <t>Risque élevé</t>
        </is>
      </c>
      <c r="C9" s="20">
        <f t="array" ref="C9">IFERROR(INDEX(Ref_Ponderation!$Q$3:$Q$7,MATCH(B9,Ref_Ponderation!$P$3:$P$7,0)),"")</f>
        <v/>
      </c>
      <c r="D9" s="148">
        <f>IFERROR('Template données'!P9,0)*IFERROR(C9,0)</f>
        <v/>
      </c>
    </row>
    <row r="10" ht="15.5" customHeight="1" s="173">
      <c r="A10" s="5" t="inlineStr">
        <is>
          <t>CP009</t>
        </is>
      </c>
      <c r="B10" s="19" t="inlineStr">
        <is>
          <t>Risque mineur</t>
        </is>
      </c>
      <c r="C10" s="20">
        <f t="array" ref="C10">IFERROR(INDEX(Ref_Ponderation!$Q$3:$Q$7,MATCH(B10,Ref_Ponderation!$P$3:$P$7,0)),"")</f>
        <v/>
      </c>
      <c r="D10" s="148">
        <f>IFERROR('Template données'!P10,0)*IFERROR(C10,0)</f>
        <v/>
      </c>
    </row>
    <row r="11" ht="15.5" customHeight="1" s="173">
      <c r="A11" s="5" t="inlineStr">
        <is>
          <t>CP010</t>
        </is>
      </c>
      <c r="B11" s="19" t="inlineStr">
        <is>
          <t>Risque élevé</t>
        </is>
      </c>
      <c r="C11" s="20">
        <f t="array" ref="C11">IFERROR(INDEX(Ref_Ponderation!$Q$3:$Q$7,MATCH(B11,Ref_Ponderation!$P$3:$P$7,0)),"")</f>
        <v/>
      </c>
      <c r="D11" s="148">
        <f>IFERROR('Template données'!P11,0)*IFERROR(C11,0)</f>
        <v/>
      </c>
    </row>
    <row r="12" ht="15.5" customHeight="1" s="173">
      <c r="A12" s="5" t="inlineStr">
        <is>
          <t>CP011</t>
        </is>
      </c>
      <c r="B12" s="19" t="inlineStr">
        <is>
          <t>Risque mineur</t>
        </is>
      </c>
      <c r="C12" s="20">
        <f t="array" ref="C12">IFERROR(INDEX(Ref_Ponderation!$Q$3:$Q$7,MATCH(B12,Ref_Ponderation!$P$3:$P$7,0)),"")</f>
        <v/>
      </c>
      <c r="D12" s="148">
        <f>IFERROR('Template données'!P12,0)*IFERROR(C12,0)</f>
        <v/>
      </c>
    </row>
    <row r="13" ht="15.5" customHeight="1" s="173">
      <c r="A13" s="5" t="inlineStr">
        <is>
          <t>CP012</t>
        </is>
      </c>
      <c r="B13" s="19" t="inlineStr">
        <is>
          <t>Risque élevé</t>
        </is>
      </c>
      <c r="C13" s="20">
        <f t="array" ref="C13">IFERROR(INDEX(Ref_Ponderation!$Q$3:$Q$7,MATCH(B13,Ref_Ponderation!$P$3:$P$7,0)),"")</f>
        <v/>
      </c>
      <c r="D13" s="148">
        <f>IFERROR('Template données'!P13,0)*IFERROR(C13,0)</f>
        <v/>
      </c>
    </row>
    <row r="14" ht="15.5" customHeight="1" s="173">
      <c r="A14" s="5" t="inlineStr">
        <is>
          <t>CP013</t>
        </is>
      </c>
      <c r="B14" s="19" t="inlineStr">
        <is>
          <t>Risque élevé</t>
        </is>
      </c>
      <c r="C14" s="20">
        <f t="array" ref="C14">IFERROR(INDEX(Ref_Ponderation!$Q$3:$Q$7,MATCH(B14,Ref_Ponderation!$P$3:$P$7,0)),"")</f>
        <v/>
      </c>
      <c r="D14" s="148">
        <f>IFERROR('Template données'!P14,0)*IFERROR(C14,0)</f>
        <v/>
      </c>
    </row>
    <row r="15" ht="15.5" customHeight="1" s="173">
      <c r="A15" s="5" t="inlineStr">
        <is>
          <t>CP014</t>
        </is>
      </c>
      <c r="B15" s="19" t="inlineStr">
        <is>
          <t>Risque très élevé</t>
        </is>
      </c>
      <c r="C15" s="20">
        <f t="array" ref="C15">IFERROR(INDEX(Ref_Ponderation!$Q$3:$Q$7,MATCH(B15,Ref_Ponderation!$P$3:$P$7,0)),"")</f>
        <v/>
      </c>
      <c r="D15" s="148">
        <f>IFERROR('Template données'!P15,0)*IFERROR(C15,0)</f>
        <v/>
      </c>
    </row>
    <row r="16" ht="15.5" customHeight="1" s="173">
      <c r="A16" s="5" t="inlineStr">
        <is>
          <t>CP015</t>
        </is>
      </c>
      <c r="B16" s="19" t="inlineStr">
        <is>
          <t>Risque élevé</t>
        </is>
      </c>
      <c r="C16" s="20">
        <f t="array" ref="C16">IFERROR(INDEX(Ref_Ponderation!$Q$3:$Q$7,MATCH(B16,Ref_Ponderation!$P$3:$P$7,0)),"")</f>
        <v/>
      </c>
      <c r="D16" s="148">
        <f>IFERROR('Template données'!P16,0)*IFERROR(C16,0)</f>
        <v/>
      </c>
    </row>
    <row r="17" ht="15.5" customHeight="1" s="173">
      <c r="A17" s="5" t="inlineStr">
        <is>
          <t>CP016</t>
        </is>
      </c>
      <c r="B17" s="19" t="inlineStr">
        <is>
          <t>Risque élevé</t>
        </is>
      </c>
      <c r="C17" s="20">
        <f t="array" ref="C17">IFERROR(INDEX(Ref_Ponderation!$Q$3:$Q$7,MATCH(B17,Ref_Ponderation!$P$3:$P$7,0)),"")</f>
        <v/>
      </c>
      <c r="D17" s="148">
        <f>IFERROR('Template données'!P17,0)*IFERROR(C17,0)</f>
        <v/>
      </c>
    </row>
    <row r="18" ht="15.5" customHeight="1" s="173">
      <c r="A18" s="5" t="inlineStr">
        <is>
          <t>CP017</t>
        </is>
      </c>
      <c r="B18" s="19" t="inlineStr">
        <is>
          <t>Risque très élevé</t>
        </is>
      </c>
      <c r="C18" s="20">
        <f t="array" ref="C18">IFERROR(INDEX(Ref_Ponderation!$Q$3:$Q$7,MATCH(B18,Ref_Ponderation!$P$3:$P$7,0)),"")</f>
        <v/>
      </c>
      <c r="D18" s="148">
        <f>IFERROR('Template données'!P18,0)*IFERROR(C18,0)</f>
        <v/>
      </c>
    </row>
    <row r="19" ht="15.5" customHeight="1" s="173">
      <c r="A19" s="5" t="inlineStr">
        <is>
          <t>CP018</t>
        </is>
      </c>
      <c r="B19" s="19" t="inlineStr">
        <is>
          <t>Risque élevé</t>
        </is>
      </c>
      <c r="C19" s="20">
        <f t="array" ref="C19">IFERROR(INDEX(Ref_Ponderation!$Q$3:$Q$7,MATCH(B19,Ref_Ponderation!$P$3:$P$7,0)),"")</f>
        <v/>
      </c>
      <c r="D19" s="148">
        <f>IFERROR('Template données'!P19,0)*IFERROR(C19,0)</f>
        <v/>
      </c>
    </row>
    <row r="20">
      <c r="C20" s="20" t="n"/>
    </row>
  </sheetData>
  <pageMargins left="0.7" right="0.7" top="0.75" bottom="0.75" header="0.3" footer="0.3"/>
</worksheet>
</file>

<file path=xl/worksheets/sheet5.xml><?xml version="1.0" encoding="utf-8"?>
<worksheet xmlns="http://schemas.openxmlformats.org/spreadsheetml/2006/main">
  <sheetPr codeName="Feuil2">
    <outlinePr summaryBelow="1" summaryRight="1"/>
    <pageSetUpPr/>
  </sheetPr>
  <dimension ref="A1:H33"/>
  <sheetViews>
    <sheetView workbookViewId="0">
      <selection activeCell="C14" sqref="C14"/>
    </sheetView>
  </sheetViews>
  <sheetFormatPr baseColWidth="10" defaultRowHeight="14.5"/>
  <cols>
    <col width="27.7265625" customWidth="1" style="173" min="1" max="1"/>
    <col width="14.90625" customWidth="1" style="173" min="3" max="3"/>
    <col width="15" customWidth="1" style="173" min="7" max="7"/>
  </cols>
  <sheetData>
    <row r="1" ht="30" customHeight="1" s="173">
      <c r="A1" s="13" t="inlineStr">
        <is>
          <t xml:space="preserve">CATEGOREIS </t>
        </is>
      </c>
    </row>
    <row r="2">
      <c r="A2" t="inlineStr">
        <is>
          <t xml:space="preserve">(a) souverains </t>
        </is>
      </c>
      <c r="G2" s="155" t="inlineStr">
        <is>
          <t>À ne pas effacer</t>
        </is>
      </c>
      <c r="H2" s="154" t="n"/>
    </row>
    <row r="3">
      <c r="A3" t="inlineStr">
        <is>
          <t>(b) organismes pub. hors Adm c</t>
        </is>
      </c>
      <c r="E3" t="inlineStr">
        <is>
          <t>Type de CRM</t>
        </is>
      </c>
      <c r="G3" s="153" t="inlineStr">
        <is>
          <t>financee</t>
        </is>
      </c>
      <c r="H3" s="153" t="inlineStr">
        <is>
          <t>Non éligible</t>
        </is>
      </c>
    </row>
    <row r="4">
      <c r="A4" t="inlineStr">
        <is>
          <t>(c) Expositions sur les BMD</t>
        </is>
      </c>
      <c r="E4" t="inlineStr">
        <is>
          <t>Financée</t>
        </is>
      </c>
      <c r="G4" s="153" t="inlineStr">
        <is>
          <t>non_financee</t>
        </is>
      </c>
      <c r="H4" s="147" t="n"/>
    </row>
    <row r="5">
      <c r="A5" t="inlineStr">
        <is>
          <t xml:space="preserve">(d) institutions financières </t>
        </is>
      </c>
      <c r="E5" t="inlineStr">
        <is>
          <t>Non financée</t>
        </is>
      </c>
    </row>
    <row r="6">
      <c r="A6" t="inlineStr">
        <is>
          <t>(e) entreprises</t>
        </is>
      </c>
    </row>
    <row r="7">
      <c r="A7" t="inlineStr">
        <is>
          <t xml:space="preserve">(f) clientèle de détail </t>
        </is>
      </c>
    </row>
    <row r="8">
      <c r="A8" t="inlineStr">
        <is>
          <t>(g) prêts garantis par l'immo R</t>
        </is>
      </c>
    </row>
    <row r="9">
      <c r="A9" t="inlineStr">
        <is>
          <t>(h) prêts garantis par l'immo C</t>
        </is>
      </c>
    </row>
    <row r="10">
      <c r="A10" t="inlineStr">
        <is>
          <t>(i) créances en souffrance</t>
        </is>
      </c>
    </row>
    <row r="11">
      <c r="A11" t="inlineStr">
        <is>
          <t>(j) créances à risque élevé</t>
        </is>
      </c>
    </row>
    <row r="12">
      <c r="A12" t="inlineStr">
        <is>
          <t>(k) autres actifs</t>
        </is>
      </c>
    </row>
    <row r="14" ht="30" customHeight="1" s="173">
      <c r="E14" s="14" t="n"/>
    </row>
    <row r="15" ht="30" customHeight="1" s="173">
      <c r="C15" s="14" t="n"/>
      <c r="D15" s="14" t="n"/>
      <c r="E15" s="15" t="n"/>
    </row>
    <row r="16" ht="30" customHeight="1" s="173">
      <c r="C16" s="15" t="n"/>
      <c r="D16" s="15" t="n"/>
      <c r="E16" s="15" t="n"/>
    </row>
    <row r="17" ht="30" customHeight="1" s="173">
      <c r="C17" s="15" t="n"/>
      <c r="D17" s="15" t="n"/>
      <c r="E17" s="15" t="n"/>
    </row>
    <row r="18" ht="30" customHeight="1" s="173">
      <c r="C18" s="15" t="n"/>
      <c r="D18" s="15" t="n"/>
      <c r="E18" s="15" t="n"/>
    </row>
    <row r="19" ht="30" customHeight="1" s="173">
      <c r="C19" s="15" t="n"/>
      <c r="D19" s="15" t="n"/>
      <c r="E19" s="15" t="n"/>
    </row>
    <row r="20" ht="30" customHeight="1" s="173">
      <c r="C20" s="15" t="n"/>
      <c r="D20" s="15" t="n"/>
      <c r="E20" s="15" t="n"/>
    </row>
    <row r="21" ht="30" customHeight="1" s="173">
      <c r="C21" s="15" t="n"/>
      <c r="D21" s="15" t="n"/>
      <c r="E21" s="15" t="n"/>
    </row>
    <row r="22" ht="30" customHeight="1" s="173">
      <c r="C22" s="15" t="n"/>
      <c r="D22" s="15" t="n"/>
      <c r="E22" s="15" t="n"/>
    </row>
    <row r="23" ht="30" customHeight="1" s="173">
      <c r="C23" s="15" t="n"/>
      <c r="D23" s="15" t="n"/>
      <c r="E23" s="15" t="n"/>
    </row>
    <row r="24" ht="30" customHeight="1" s="173">
      <c r="C24" s="15" t="n"/>
      <c r="D24" s="15" t="n"/>
      <c r="E24" s="15" t="n"/>
    </row>
    <row r="25" ht="30" customHeight="1" s="173">
      <c r="C25" s="15" t="n"/>
      <c r="D25" s="15" t="n"/>
      <c r="E25" s="15" t="n"/>
    </row>
    <row r="26" ht="30" customHeight="1" s="173">
      <c r="C26" s="15" t="n"/>
      <c r="D26" s="15" t="n"/>
      <c r="E26" s="15" t="n"/>
    </row>
    <row r="27" ht="30" customHeight="1" s="173">
      <c r="C27" s="15" t="n"/>
      <c r="D27" s="15" t="n"/>
      <c r="E27" s="15" t="n"/>
    </row>
    <row r="28" ht="30" customHeight="1" s="173">
      <c r="C28" s="15" t="n"/>
      <c r="D28" s="15" t="n"/>
      <c r="E28" s="15" t="n"/>
    </row>
    <row r="29" ht="30" customHeight="1" s="173">
      <c r="C29" s="15" t="n"/>
      <c r="D29" s="15" t="n"/>
      <c r="E29" s="15" t="n"/>
    </row>
    <row r="30" ht="30" customHeight="1" s="173">
      <c r="C30" s="15" t="n"/>
      <c r="D30" s="15" t="n"/>
      <c r="E30" s="15" t="n"/>
    </row>
    <row r="31" ht="30" customHeight="1" s="173">
      <c r="C31" s="15" t="n"/>
      <c r="D31" s="15" t="n"/>
      <c r="E31" s="15" t="n"/>
    </row>
    <row r="32" ht="30" customHeight="1" s="173">
      <c r="C32" s="15" t="n"/>
      <c r="D32" s="15" t="n"/>
      <c r="E32" s="15" t="n"/>
    </row>
    <row r="33" ht="30" customHeight="1" s="173">
      <c r="C33" s="15" t="n"/>
      <c r="D33" s="15" t="n"/>
    </row>
  </sheetData>
  <pageMargins left="0.7" right="0.7" top="0.75" bottom="0.75" header="0.3" footer="0.3"/>
  <pageSetup orientation="portrait" paperSize="9"/>
  <tableParts count="1">
    <tablePart xmlns:r="http://schemas.openxmlformats.org/officeDocument/2006/relationships" r:id="rId1"/>
  </tableParts>
</worksheet>
</file>

<file path=xl/worksheets/sheet6.xml><?xml version="1.0" encoding="utf-8"?>
<worksheet xmlns="http://schemas.openxmlformats.org/spreadsheetml/2006/main">
  <sheetPr codeName="Feuil6">
    <tabColor theme="5" tint="0.5999633777886288"/>
    <outlinePr summaryBelow="1" summaryRight="1"/>
    <pageSetUpPr/>
  </sheetPr>
  <dimension ref="A2:H52"/>
  <sheetViews>
    <sheetView topLeftCell="A16" zoomScale="76" zoomScaleNormal="115" workbookViewId="0">
      <selection activeCell="C20" sqref="C20"/>
    </sheetView>
  </sheetViews>
  <sheetFormatPr baseColWidth="10" defaultRowHeight="14.5"/>
  <cols>
    <col width="14.453125" customWidth="1" style="173" min="1" max="1"/>
    <col width="14.1796875" customWidth="1" style="173" min="2" max="2"/>
  </cols>
  <sheetData>
    <row r="1" ht="19" customHeight="1" s="173"/>
    <row r="2" ht="15.5" customHeight="1" s="173">
      <c r="A2" s="29" t="inlineStr">
        <is>
          <t>(a) les Etats de l'UMOA et leurs démembrements (trésor public, ministères et services centraux) ;</t>
        </is>
      </c>
      <c r="B2" s="30" t="n"/>
      <c r="C2" s="30" t="n"/>
      <c r="D2" s="30" t="n"/>
      <c r="E2" s="30" t="n"/>
      <c r="F2" s="30" t="n"/>
      <c r="G2" s="30" t="n"/>
      <c r="H2" s="30" t="n"/>
    </row>
    <row r="3" ht="15.5" customHeight="1" s="173">
      <c r="A3" s="29" t="inlineStr">
        <is>
          <t>(b) les Etats tiers (hors UMOA) ;</t>
        </is>
      </c>
      <c r="B3" s="30" t="n"/>
      <c r="C3" s="30" t="n"/>
      <c r="D3" s="30" t="n"/>
      <c r="E3" s="30" t="n"/>
      <c r="F3" s="30" t="n"/>
      <c r="G3" s="30" t="n"/>
      <c r="H3" s="30" t="n"/>
    </row>
    <row r="4" ht="15.5" customHeight="1" s="173">
      <c r="A4" s="29" t="inlineStr">
        <is>
          <t>(c) les banques centrales.</t>
        </is>
      </c>
      <c r="B4" s="30" t="n"/>
      <c r="C4" s="30" t="n"/>
      <c r="D4" s="30" t="n"/>
      <c r="E4" s="30" t="n"/>
      <c r="F4" s="30" t="n"/>
      <c r="G4" s="30" t="n"/>
      <c r="H4" s="30" t="n"/>
    </row>
    <row r="6">
      <c r="A6" s="31" t="inlineStr">
        <is>
          <t xml:space="preserve">Notation </t>
        </is>
      </c>
      <c r="B6" s="31" t="inlineStr">
        <is>
          <t>Pondération</t>
        </is>
      </c>
    </row>
    <row r="7">
      <c r="A7" s="32" t="inlineStr">
        <is>
          <t xml:space="preserve">AAA </t>
        </is>
      </c>
      <c r="B7" s="33" t="n">
        <v>0</v>
      </c>
    </row>
    <row r="8">
      <c r="A8" s="32" t="inlineStr">
        <is>
          <t>AA+</t>
        </is>
      </c>
      <c r="B8" s="33" t="n">
        <v>0</v>
      </c>
    </row>
    <row r="9">
      <c r="A9" s="32" t="inlineStr">
        <is>
          <t>AA</t>
        </is>
      </c>
      <c r="B9" s="33" t="n">
        <v>0</v>
      </c>
    </row>
    <row r="10">
      <c r="A10" s="32" t="inlineStr">
        <is>
          <t>AA-</t>
        </is>
      </c>
      <c r="B10" s="33" t="n">
        <v>0</v>
      </c>
    </row>
    <row r="11">
      <c r="A11" s="32" t="inlineStr">
        <is>
          <t xml:space="preserve">A+ </t>
        </is>
      </c>
      <c r="B11" s="33" t="n">
        <v>0.2</v>
      </c>
    </row>
    <row r="12">
      <c r="A12" s="32" t="inlineStr">
        <is>
          <t>A</t>
        </is>
      </c>
      <c r="B12" s="33" t="n">
        <v>0.2</v>
      </c>
    </row>
    <row r="13">
      <c r="A13" s="32" t="inlineStr">
        <is>
          <t>A-</t>
        </is>
      </c>
      <c r="B13" s="33" t="n">
        <v>0.2</v>
      </c>
    </row>
    <row r="14">
      <c r="A14" s="32" t="inlineStr">
        <is>
          <t xml:space="preserve">BBB+ </t>
        </is>
      </c>
      <c r="B14" s="33" t="n">
        <v>0.5</v>
      </c>
    </row>
    <row r="15">
      <c r="A15" s="32" t="inlineStr">
        <is>
          <t>BBB</t>
        </is>
      </c>
      <c r="B15" s="33" t="n">
        <v>0.5</v>
      </c>
    </row>
    <row r="16">
      <c r="A16" s="32" t="inlineStr">
        <is>
          <t>BBB-</t>
        </is>
      </c>
      <c r="B16" s="33" t="n">
        <v>0.5</v>
      </c>
    </row>
    <row r="17">
      <c r="A17" s="32" t="inlineStr">
        <is>
          <t>BB+</t>
        </is>
      </c>
      <c r="B17" s="33" t="n">
        <v>1</v>
      </c>
    </row>
    <row r="18">
      <c r="A18" s="32" t="inlineStr">
        <is>
          <t>BB</t>
        </is>
      </c>
      <c r="B18" s="33" t="n">
        <v>1</v>
      </c>
    </row>
    <row r="19">
      <c r="A19" s="32" t="inlineStr">
        <is>
          <t>BB-</t>
        </is>
      </c>
      <c r="B19" s="33" t="n">
        <v>1</v>
      </c>
    </row>
    <row r="20">
      <c r="A20" s="32" t="inlineStr">
        <is>
          <t>B+</t>
        </is>
      </c>
      <c r="B20" s="33" t="n">
        <v>1</v>
      </c>
    </row>
    <row r="21">
      <c r="A21" s="32" t="inlineStr">
        <is>
          <t>B</t>
        </is>
      </c>
      <c r="B21" s="33" t="n">
        <v>1</v>
      </c>
    </row>
    <row r="22">
      <c r="A22" s="32" t="inlineStr">
        <is>
          <t>B-</t>
        </is>
      </c>
      <c r="B22" s="33" t="n">
        <v>1</v>
      </c>
    </row>
    <row r="23">
      <c r="A23" s="32" t="inlineStr">
        <is>
          <t>&lt; B-</t>
        </is>
      </c>
      <c r="B23" s="33" t="n">
        <v>1.5</v>
      </c>
    </row>
    <row r="24">
      <c r="A24" s="32" t="inlineStr">
        <is>
          <t>Non noté</t>
        </is>
      </c>
      <c r="B24" s="33" t="n">
        <v>1</v>
      </c>
    </row>
    <row r="25">
      <c r="A25" s="34" t="n"/>
      <c r="B25" s="35" t="n"/>
    </row>
    <row r="27" ht="15.5" customHeight="1" s="173">
      <c r="A27" s="36" t="inlineStr">
        <is>
          <t>Souverain non noté, mais établi par les OCE</t>
        </is>
      </c>
    </row>
    <row r="29">
      <c r="A29" s="31" t="inlineStr">
        <is>
          <t>Note des OCE</t>
        </is>
      </c>
      <c r="B29" s="31" t="inlineStr">
        <is>
          <t>Pondération</t>
        </is>
      </c>
    </row>
    <row r="30">
      <c r="A30" s="37" t="n">
        <v>0</v>
      </c>
      <c r="B30" s="33" t="n">
        <v>0</v>
      </c>
    </row>
    <row r="31">
      <c r="A31" s="37" t="n">
        <v>1</v>
      </c>
      <c r="B31" s="33" t="n">
        <v>0</v>
      </c>
    </row>
    <row r="32">
      <c r="A32" s="37" t="n">
        <v>2</v>
      </c>
      <c r="B32" s="33" t="n">
        <v>0.2</v>
      </c>
    </row>
    <row r="33">
      <c r="A33" s="37" t="n">
        <v>3</v>
      </c>
      <c r="B33" s="33" t="n">
        <v>0.5</v>
      </c>
    </row>
    <row r="34">
      <c r="A34" s="37" t="n">
        <v>4</v>
      </c>
      <c r="B34" s="33" t="n">
        <v>1</v>
      </c>
    </row>
    <row r="35">
      <c r="A35" s="37" t="n">
        <v>5</v>
      </c>
      <c r="B35" s="33" t="n">
        <v>1</v>
      </c>
    </row>
    <row r="36">
      <c r="A36" s="37" t="n">
        <v>6</v>
      </c>
      <c r="B36" s="33" t="n">
        <v>1</v>
      </c>
    </row>
    <row r="37">
      <c r="A37" s="37" t="n">
        <v>7</v>
      </c>
      <c r="B37" s="33" t="n">
        <v>1.5</v>
      </c>
    </row>
    <row r="40" ht="15.5" customHeight="1" s="173">
      <c r="A40" s="29" t="inlineStr">
        <is>
          <t>Expositions sur Etats de l'UEMOA et démembrements  libellées et financées en FCFA</t>
        </is>
      </c>
      <c r="B40" s="30" t="n"/>
      <c r="C40" s="30" t="n"/>
      <c r="D40" s="30" t="n"/>
      <c r="E40" s="38" t="n"/>
      <c r="F40" s="38" t="n"/>
      <c r="G40" s="38" t="n"/>
    </row>
    <row r="41" ht="15.5" customHeight="1" s="173">
      <c r="A41" s="29" t="inlineStr">
        <is>
          <t xml:space="preserve">Expositions sur BCEAO  libellées et financées en FCFA </t>
        </is>
      </c>
      <c r="B41" s="30" t="n"/>
      <c r="C41" s="30" t="n"/>
      <c r="D41" s="30" t="n"/>
      <c r="E41" s="38" t="n"/>
      <c r="F41" s="38" t="n"/>
      <c r="G41" s="38" t="n"/>
    </row>
    <row r="42" ht="15.5" customHeight="1" s="173">
      <c r="A42" s="29" t="inlineStr">
        <is>
          <t>UEMOA</t>
        </is>
      </c>
      <c r="B42" s="30" t="n"/>
      <c r="C42" s="30" t="n"/>
      <c r="D42" s="30" t="n"/>
      <c r="E42" s="38" t="n"/>
      <c r="F42" s="38" t="n"/>
      <c r="G42" s="38" t="n"/>
    </row>
    <row r="43" ht="15.5" customHeight="1" s="173">
      <c r="A43" s="29" t="inlineStr">
        <is>
          <t>CEDEAO</t>
        </is>
      </c>
      <c r="B43" s="30" t="n"/>
      <c r="C43" s="30" t="n"/>
      <c r="D43" s="30" t="n"/>
      <c r="E43" s="38" t="n"/>
      <c r="F43" s="38" t="n"/>
      <c r="G43" s="38" t="n"/>
    </row>
    <row r="44" ht="15.5" customHeight="1" s="173">
      <c r="A44" s="29" t="inlineStr">
        <is>
          <t>UA</t>
        </is>
      </c>
      <c r="B44" s="30" t="n"/>
      <c r="C44" s="30" t="n"/>
      <c r="D44" s="30" t="n"/>
      <c r="E44" s="38" t="n"/>
      <c r="F44" s="38" t="n"/>
      <c r="G44" s="38" t="n"/>
    </row>
    <row r="45" ht="15.5" customHeight="1" s="173">
      <c r="A45" s="29" t="inlineStr">
        <is>
          <t>(FGD-UMOA</t>
        </is>
      </c>
      <c r="B45" s="30" t="n"/>
      <c r="C45" s="30" t="n"/>
      <c r="D45" s="30" t="n"/>
      <c r="E45" s="38" t="n"/>
      <c r="F45" s="38" t="n"/>
      <c r="G45" s="38" t="n"/>
    </row>
    <row r="46" ht="15.5" customHeight="1" s="173">
      <c r="A46" s="29" t="inlineStr">
        <is>
          <t>ONU</t>
        </is>
      </c>
      <c r="B46" s="30" t="n"/>
      <c r="C46" s="30" t="n"/>
      <c r="D46" s="30" t="n"/>
      <c r="E46" s="38" t="n"/>
      <c r="F46" s="38" t="n"/>
      <c r="G46" s="38" t="n"/>
    </row>
    <row r="47" ht="15.5" customHeight="1" s="173">
      <c r="A47" s="29" t="inlineStr">
        <is>
          <t>UE</t>
        </is>
      </c>
      <c r="B47" s="30" t="n"/>
      <c r="C47" s="30" t="n"/>
      <c r="D47" s="30" t="n"/>
      <c r="E47" s="38" t="n"/>
      <c r="F47" s="38" t="n"/>
      <c r="G47" s="38" t="n"/>
    </row>
    <row r="48" ht="15.5" customHeight="1" s="173">
      <c r="A48" s="29" t="inlineStr">
        <is>
          <t>BRI</t>
        </is>
      </c>
      <c r="B48" s="30" t="n"/>
      <c r="C48" s="30" t="n"/>
      <c r="D48" s="30" t="n"/>
      <c r="E48" s="38" t="n"/>
      <c r="F48" s="38" t="n"/>
      <c r="G48" s="38" t="n"/>
    </row>
    <row r="49" ht="15.5" customHeight="1" s="173">
      <c r="A49" s="29" t="inlineStr">
        <is>
          <t>FMI</t>
        </is>
      </c>
      <c r="B49" s="30" t="n"/>
      <c r="C49" s="30" t="n"/>
      <c r="D49" s="30" t="n"/>
      <c r="E49" s="38" t="n"/>
      <c r="F49" s="38" t="n"/>
      <c r="G49" s="38" t="n"/>
    </row>
    <row r="50" ht="15.5" customHeight="1" s="173">
      <c r="A50" s="29" t="inlineStr">
        <is>
          <t>BCE</t>
        </is>
      </c>
      <c r="B50" s="30" t="n"/>
      <c r="C50" s="30" t="n"/>
      <c r="D50" s="30" t="n"/>
      <c r="E50" s="38" t="n"/>
      <c r="F50" s="38" t="n"/>
      <c r="G50" s="38" t="n"/>
    </row>
    <row r="51">
      <c r="A51" s="39" t="n"/>
    </row>
    <row r="52">
      <c r="A52" s="40" t="inlineStr">
        <is>
          <t xml:space="preserve">Pondérations = </t>
        </is>
      </c>
      <c r="B52" s="41" t="n">
        <v>0</v>
      </c>
    </row>
  </sheetData>
  <pageMargins left="0.7" right="0.7" top="0.75" bottom="0.75" header="0.3" footer="0.3"/>
</worksheet>
</file>

<file path=xl/worksheets/sheet7.xml><?xml version="1.0" encoding="utf-8"?>
<worksheet xmlns="http://schemas.openxmlformats.org/spreadsheetml/2006/main">
  <sheetPr codeName="Feuil7">
    <tabColor theme="9" tint="0.5999633777886288"/>
    <outlinePr summaryBelow="1" summaryRight="1"/>
    <pageSetUpPr/>
  </sheetPr>
  <dimension ref="A1:J27"/>
  <sheetViews>
    <sheetView topLeftCell="A4" workbookViewId="0">
      <selection activeCell="C13" sqref="C13"/>
    </sheetView>
  </sheetViews>
  <sheetFormatPr baseColWidth="10" defaultRowHeight="14.5"/>
  <cols>
    <col width="17.1796875" customWidth="1" style="173" min="1" max="1"/>
  </cols>
  <sheetData>
    <row r="1" ht="15.5" customHeight="1" s="173">
      <c r="A1" s="36" t="inlineStr">
        <is>
          <t>Les organismes publics hors administration centrale regroupent les administrations locales et régionales.</t>
        </is>
      </c>
    </row>
    <row r="3">
      <c r="A3" s="31" t="inlineStr">
        <is>
          <t xml:space="preserve">Notation </t>
        </is>
      </c>
      <c r="B3" s="31" t="inlineStr">
        <is>
          <t>Pondération</t>
        </is>
      </c>
    </row>
    <row r="4">
      <c r="A4" s="32" t="inlineStr">
        <is>
          <t xml:space="preserve">AAA </t>
        </is>
      </c>
      <c r="B4" s="33" t="n">
        <v>0.2</v>
      </c>
    </row>
    <row r="5">
      <c r="A5" s="32" t="inlineStr">
        <is>
          <t>AA+</t>
        </is>
      </c>
      <c r="B5" s="33" t="n">
        <v>0.2</v>
      </c>
    </row>
    <row r="6">
      <c r="A6" s="32" t="inlineStr">
        <is>
          <t>AA</t>
        </is>
      </c>
      <c r="B6" s="33" t="n">
        <v>0.2</v>
      </c>
    </row>
    <row r="7">
      <c r="A7" s="32" t="inlineStr">
        <is>
          <t>AA-</t>
        </is>
      </c>
      <c r="B7" s="33" t="n">
        <v>0.2</v>
      </c>
    </row>
    <row r="8">
      <c r="A8" s="32" t="inlineStr">
        <is>
          <t xml:space="preserve">A+ </t>
        </is>
      </c>
      <c r="B8" s="33" t="n">
        <v>0.5</v>
      </c>
    </row>
    <row r="9">
      <c r="A9" s="32" t="inlineStr">
        <is>
          <t>A</t>
        </is>
      </c>
      <c r="B9" s="33" t="n">
        <v>0.5</v>
      </c>
    </row>
    <row r="10">
      <c r="A10" s="32" t="inlineStr">
        <is>
          <t>A-</t>
        </is>
      </c>
      <c r="B10" s="33" t="n">
        <v>0.5</v>
      </c>
    </row>
    <row r="11">
      <c r="A11" s="32" t="inlineStr">
        <is>
          <t xml:space="preserve">BBB+ </t>
        </is>
      </c>
      <c r="B11" s="33" t="n">
        <v>1</v>
      </c>
    </row>
    <row r="12">
      <c r="A12" s="32" t="inlineStr">
        <is>
          <t>BBB</t>
        </is>
      </c>
      <c r="B12" s="33" t="n">
        <v>1</v>
      </c>
    </row>
    <row r="13">
      <c r="A13" s="32" t="inlineStr">
        <is>
          <t>BBB-</t>
        </is>
      </c>
      <c r="B13" s="33" t="n">
        <v>1</v>
      </c>
    </row>
    <row r="14">
      <c r="A14" s="32" t="inlineStr">
        <is>
          <t>BB+</t>
        </is>
      </c>
      <c r="B14" s="33" t="n">
        <v>1</v>
      </c>
    </row>
    <row r="15">
      <c r="A15" s="32" t="inlineStr">
        <is>
          <t>BB</t>
        </is>
      </c>
      <c r="B15" s="33" t="n">
        <v>1</v>
      </c>
    </row>
    <row r="16">
      <c r="A16" s="32" t="inlineStr">
        <is>
          <t>BB-</t>
        </is>
      </c>
      <c r="B16" s="33" t="n">
        <v>1</v>
      </c>
    </row>
    <row r="17">
      <c r="A17" s="32" t="inlineStr">
        <is>
          <t>B+</t>
        </is>
      </c>
      <c r="B17" s="33" t="n">
        <v>1</v>
      </c>
    </row>
    <row r="18">
      <c r="A18" s="32" t="inlineStr">
        <is>
          <t>B</t>
        </is>
      </c>
      <c r="B18" s="33" t="n">
        <v>1</v>
      </c>
    </row>
    <row r="19">
      <c r="A19" s="32" t="inlineStr">
        <is>
          <t>B-</t>
        </is>
      </c>
      <c r="B19" s="33" t="n">
        <v>1</v>
      </c>
    </row>
    <row r="20">
      <c r="A20" s="32" t="inlineStr">
        <is>
          <t>&lt; B-</t>
        </is>
      </c>
      <c r="B20" s="33" t="n">
        <v>1.5</v>
      </c>
    </row>
    <row r="21">
      <c r="A21" s="32" t="inlineStr">
        <is>
          <t>Non noté</t>
        </is>
      </c>
      <c r="B21" s="33" t="n">
        <v>1</v>
      </c>
    </row>
    <row r="23" ht="15.5" customHeight="1" s="173">
      <c r="A23" s="36" t="inlineStr">
        <is>
          <t>Expositions sur les organismes publics hors administration centrale des Etats de l'UMOA libellées et financées en FCFA</t>
        </is>
      </c>
    </row>
    <row r="24">
      <c r="A24" s="42" t="n"/>
    </row>
    <row r="25">
      <c r="A25" s="31" t="inlineStr">
        <is>
          <t xml:space="preserve">Pondérations = </t>
        </is>
      </c>
      <c r="B25" s="43" t="n">
        <v>0.2</v>
      </c>
    </row>
    <row r="27" ht="15.5" customHeight="1" s="173">
      <c r="A27" s="36" t="inlineStr">
        <is>
          <t>Si l’organisme public finance une activité non publique, l’exposition est traitée comme une entreprise (pas 20%).</t>
        </is>
      </c>
      <c r="B27" s="36" t="n"/>
      <c r="C27" s="36" t="n"/>
      <c r="D27" s="36" t="n"/>
      <c r="E27" s="36" t="n"/>
      <c r="F27" s="36" t="n"/>
      <c r="G27" s="36" t="n"/>
      <c r="H27" s="36" t="n"/>
      <c r="I27" s="36" t="n"/>
      <c r="J27" s="36" t="n"/>
    </row>
  </sheetData>
  <pageMargins left="0.7" right="0.7" top="0.75" bottom="0.75" header="0.3" footer="0.3"/>
</worksheet>
</file>

<file path=xl/worksheets/sheet8.xml><?xml version="1.0" encoding="utf-8"?>
<worksheet xmlns="http://schemas.openxmlformats.org/spreadsheetml/2006/main">
  <sheetPr codeName="Feuil8">
    <tabColor theme="4" tint="0.3999755851924192"/>
    <outlinePr summaryBelow="1" summaryRight="1"/>
    <pageSetUpPr/>
  </sheetPr>
  <dimension ref="A2:I52"/>
  <sheetViews>
    <sheetView topLeftCell="G31" workbookViewId="0">
      <selection activeCell="C13" sqref="C13"/>
    </sheetView>
  </sheetViews>
  <sheetFormatPr baseColWidth="10" defaultRowHeight="14.5"/>
  <cols>
    <col width="18" customWidth="1" style="173" min="1" max="1"/>
    <col width="22.54296875" customWidth="1" style="173" min="3" max="3"/>
  </cols>
  <sheetData>
    <row r="2">
      <c r="A2" s="44" t="inlineStr">
        <is>
          <t>Les créances sur certaines BMD respectant les critères suivants  :</t>
        </is>
      </c>
      <c r="B2" s="44" t="n"/>
      <c r="C2" s="44" t="n"/>
      <c r="D2" s="44" t="n"/>
      <c r="E2" s="44" t="n"/>
      <c r="F2" s="44" t="n"/>
      <c r="G2" s="44" t="n"/>
      <c r="H2" s="44" t="n"/>
      <c r="I2" s="44" t="n"/>
    </row>
    <row r="3">
      <c r="A3" s="45" t="inlineStr">
        <is>
          <t>(a) excellente notation long terme (majoritairement AAA)</t>
        </is>
      </c>
      <c r="B3" s="46" t="n"/>
      <c r="C3" s="46" t="n"/>
      <c r="D3" s="46" t="n"/>
      <c r="E3" s="46" t="n"/>
      <c r="F3" s="38" t="n"/>
      <c r="G3" s="38" t="n"/>
    </row>
    <row r="4">
      <c r="A4" s="45" t="inlineStr">
        <is>
          <t>(b) actionnariat composé en grande partie de souverains ≥ AA- ou financement surtout par capital versé</t>
        </is>
      </c>
      <c r="B4" s="46" t="n"/>
      <c r="C4" s="46" t="n"/>
      <c r="D4" s="46" t="n"/>
      <c r="E4" s="46" t="n"/>
      <c r="F4" s="38" t="n"/>
      <c r="G4" s="38" t="n"/>
    </row>
    <row r="5">
      <c r="A5" s="45" t="inlineStr">
        <is>
          <t>(c) fort soutien des actionnaires</t>
        </is>
      </c>
      <c r="B5" s="46" t="n"/>
      <c r="C5" s="46" t="n"/>
      <c r="D5" s="46" t="n"/>
      <c r="E5" s="46" t="n"/>
      <c r="F5" s="38" t="n"/>
      <c r="G5" s="38" t="n"/>
    </row>
    <row r="6">
      <c r="A6" s="45" t="inlineStr">
        <is>
          <t>(d) niveau adéquat de capital et de liquidité</t>
        </is>
      </c>
      <c r="B6" s="46" t="n"/>
      <c r="C6" s="46" t="n"/>
      <c r="D6" s="46" t="n"/>
      <c r="E6" s="46" t="n"/>
      <c r="F6" s="38" t="n"/>
      <c r="G6" s="38" t="n"/>
    </row>
    <row r="7">
      <c r="A7" s="45" t="inlineStr">
        <is>
          <t>(e) politiques de crédit et gestion des risques prudentes</t>
        </is>
      </c>
      <c r="B7" s="46" t="n"/>
      <c r="C7" s="46" t="n"/>
      <c r="D7" s="46" t="n"/>
      <c r="E7" s="46" t="n"/>
      <c r="F7" s="38" t="n"/>
      <c r="G7" s="38" t="n"/>
    </row>
    <row r="8">
      <c r="A8" s="34" t="n"/>
      <c r="B8" s="34" t="n"/>
      <c r="C8" s="34" t="n"/>
      <c r="D8" s="34" t="n"/>
      <c r="E8" s="34" t="n"/>
    </row>
    <row r="9">
      <c r="A9" s="31" t="inlineStr">
        <is>
          <t xml:space="preserve">Pondérations = </t>
        </is>
      </c>
      <c r="B9" s="170" t="n">
        <v>0</v>
      </c>
    </row>
    <row r="11">
      <c r="A11" s="44" t="inlineStr">
        <is>
          <t xml:space="preserve">Expositions sur les autres BMD des Etats de l'UMOA libellées et financées en FCFA </t>
        </is>
      </c>
    </row>
    <row r="13">
      <c r="A13" s="31" t="inlineStr">
        <is>
          <t xml:space="preserve">Pondérations = </t>
        </is>
      </c>
      <c r="B13" s="170" t="n">
        <v>0</v>
      </c>
      <c r="C13" s="47" t="inlineStr">
        <is>
          <t xml:space="preserve">sous réserve qu'elles respectent les critères définis aux points
c), d) et e) </t>
        </is>
      </c>
      <c r="D13" s="48" t="n"/>
      <c r="E13" s="48" t="n"/>
      <c r="F13" s="48" t="n"/>
      <c r="G13" s="48" t="n"/>
    </row>
    <row r="15">
      <c r="A15" s="44" t="inlineStr">
        <is>
          <t>Expositions sur :</t>
        </is>
      </c>
    </row>
    <row r="16">
      <c r="A16" s="45" t="inlineStr">
        <is>
          <t>Banque Internationale pour la Reconstruction et le Développement (BIRD)</t>
        </is>
      </c>
      <c r="B16" s="38" t="n"/>
      <c r="C16" s="38" t="n"/>
      <c r="D16" s="38" t="n"/>
      <c r="E16" s="38" t="n"/>
    </row>
    <row r="17">
      <c r="A17" s="45" t="inlineStr">
        <is>
          <t>Société Financière Internationale (SFI)</t>
        </is>
      </c>
      <c r="B17" s="38" t="n"/>
      <c r="C17" s="38" t="n"/>
      <c r="D17" s="38" t="n"/>
      <c r="E17" s="38" t="n"/>
    </row>
    <row r="18">
      <c r="A18" s="45" t="inlineStr">
        <is>
          <t>Banque Asiatique de Développement (BAsD)</t>
        </is>
      </c>
      <c r="B18" s="38" t="n"/>
      <c r="C18" s="38" t="n"/>
      <c r="D18" s="38" t="n"/>
      <c r="E18" s="38" t="n"/>
    </row>
    <row r="19">
      <c r="A19" s="45" t="inlineStr">
        <is>
          <t>Banque Africaine de Développement (BAD)</t>
        </is>
      </c>
      <c r="B19" s="38" t="n"/>
      <c r="C19" s="38" t="n"/>
      <c r="D19" s="38" t="n"/>
      <c r="E19" s="38" t="n"/>
    </row>
    <row r="20">
      <c r="A20" s="45" t="inlineStr">
        <is>
          <t>Banque Européenne pour la Reconstruction et le Développement (BERD)</t>
        </is>
      </c>
      <c r="B20" s="38" t="n"/>
      <c r="C20" s="38" t="n"/>
      <c r="D20" s="38" t="n"/>
      <c r="E20" s="38" t="n"/>
    </row>
    <row r="21">
      <c r="A21" s="45" t="inlineStr">
        <is>
          <t>Banque Européenne d’Investissement (BEI)</t>
        </is>
      </c>
      <c r="B21" s="38" t="n"/>
      <c r="C21" s="38" t="n"/>
      <c r="D21" s="38" t="n"/>
      <c r="E21" s="38" t="n"/>
    </row>
    <row r="22">
      <c r="A22" s="45" t="inlineStr">
        <is>
          <t>Fonds Européen d’Investissement (FEI)</t>
        </is>
      </c>
      <c r="B22" s="38" t="n"/>
      <c r="C22" s="38" t="n"/>
      <c r="D22" s="38" t="n"/>
      <c r="E22" s="38" t="n"/>
    </row>
    <row r="23">
      <c r="A23" s="45" t="inlineStr">
        <is>
          <t>Banque Nordique d’Investissement (BNI)</t>
        </is>
      </c>
      <c r="B23" s="38" t="n"/>
      <c r="C23" s="38" t="n"/>
      <c r="D23" s="38" t="n"/>
      <c r="E23" s="38" t="n"/>
    </row>
    <row r="24">
      <c r="A24" s="45" t="inlineStr">
        <is>
          <t>Banque de Développement des Caraïbes (BDC)</t>
        </is>
      </c>
      <c r="B24" s="38" t="n"/>
      <c r="C24" s="38" t="n"/>
      <c r="D24" s="38" t="n"/>
      <c r="E24" s="38" t="n"/>
    </row>
    <row r="25">
      <c r="A25" s="45" t="inlineStr">
        <is>
          <t>Banque Islamique de Développement (BIsD)</t>
        </is>
      </c>
      <c r="B25" s="38" t="n"/>
      <c r="C25" s="38" t="n"/>
      <c r="D25" s="38" t="n"/>
      <c r="E25" s="38" t="n"/>
    </row>
    <row r="26">
      <c r="A26" s="45" t="inlineStr">
        <is>
          <t>Banque de Développement du Conseil de l’Europe (BDCE)</t>
        </is>
      </c>
      <c r="B26" s="38" t="n"/>
      <c r="C26" s="38" t="n"/>
      <c r="D26" s="38" t="n"/>
      <c r="E26" s="38" t="n"/>
    </row>
    <row r="27">
      <c r="A27" s="45" t="inlineStr">
        <is>
          <t>Agence Multilatérale de Garantie des Investissements (AMGI)</t>
        </is>
      </c>
      <c r="B27" s="38" t="n"/>
      <c r="C27" s="38" t="n"/>
      <c r="D27" s="38" t="n"/>
      <c r="E27" s="38" t="n"/>
    </row>
    <row r="28">
      <c r="A28" s="45" t="inlineStr">
        <is>
          <t>Créances sur BOAD libellées et financées en FCFA.</t>
        </is>
      </c>
      <c r="B28" s="38" t="n"/>
      <c r="C28" s="38" t="n"/>
      <c r="D28" s="38" t="n"/>
      <c r="E28" s="38" t="n"/>
    </row>
    <row r="29">
      <c r="A29" s="49" t="n"/>
    </row>
    <row r="30">
      <c r="A30" s="31" t="inlineStr">
        <is>
          <t xml:space="preserve">Pondérations = </t>
        </is>
      </c>
      <c r="B30" s="170" t="n">
        <v>0</v>
      </c>
    </row>
    <row r="32">
      <c r="A32" s="44" t="inlineStr">
        <is>
          <t>Expositions sur  autres BMD:</t>
        </is>
      </c>
    </row>
    <row r="34">
      <c r="A34" s="31" t="inlineStr">
        <is>
          <t xml:space="preserve">Notation </t>
        </is>
      </c>
      <c r="B34" s="31" t="inlineStr">
        <is>
          <t>Pondération</t>
        </is>
      </c>
    </row>
    <row r="35">
      <c r="A35" s="32" t="inlineStr">
        <is>
          <t xml:space="preserve">AAA </t>
        </is>
      </c>
      <c r="B35" s="33" t="n">
        <v>0.2</v>
      </c>
    </row>
    <row r="36">
      <c r="A36" s="32" t="inlineStr">
        <is>
          <t>AA+</t>
        </is>
      </c>
      <c r="B36" s="33" t="n">
        <v>0.2</v>
      </c>
    </row>
    <row r="37">
      <c r="A37" s="32" t="inlineStr">
        <is>
          <t>AA</t>
        </is>
      </c>
      <c r="B37" s="33" t="n">
        <v>0.2</v>
      </c>
    </row>
    <row r="38">
      <c r="A38" s="32" t="inlineStr">
        <is>
          <t>AA-</t>
        </is>
      </c>
      <c r="B38" s="33" t="n">
        <v>0.2</v>
      </c>
    </row>
    <row r="39">
      <c r="A39" s="32" t="inlineStr">
        <is>
          <t xml:space="preserve">A+ </t>
        </is>
      </c>
      <c r="B39" s="33" t="n">
        <v>0.5</v>
      </c>
    </row>
    <row r="40">
      <c r="A40" s="32" t="inlineStr">
        <is>
          <t>A</t>
        </is>
      </c>
      <c r="B40" s="33" t="n">
        <v>0.5</v>
      </c>
    </row>
    <row r="41">
      <c r="A41" s="32" t="inlineStr">
        <is>
          <t>A-</t>
        </is>
      </c>
      <c r="B41" s="33" t="n">
        <v>0.5</v>
      </c>
    </row>
    <row r="42">
      <c r="A42" s="32" t="inlineStr">
        <is>
          <t xml:space="preserve">BBB+ </t>
        </is>
      </c>
      <c r="B42" s="33" t="n">
        <v>0.5</v>
      </c>
    </row>
    <row r="43">
      <c r="A43" s="32" t="inlineStr">
        <is>
          <t>BBB</t>
        </is>
      </c>
      <c r="B43" s="33" t="n">
        <v>0.5</v>
      </c>
    </row>
    <row r="44">
      <c r="A44" s="32" t="inlineStr">
        <is>
          <t>BBB-</t>
        </is>
      </c>
      <c r="B44" s="33" t="n">
        <v>0.5</v>
      </c>
    </row>
    <row r="45">
      <c r="A45" s="32" t="inlineStr">
        <is>
          <t>BB+</t>
        </is>
      </c>
      <c r="B45" s="33" t="n">
        <v>1</v>
      </c>
    </row>
    <row r="46">
      <c r="A46" s="32" t="inlineStr">
        <is>
          <t>BB</t>
        </is>
      </c>
      <c r="B46" s="33" t="n">
        <v>1</v>
      </c>
    </row>
    <row r="47">
      <c r="A47" s="32" t="inlineStr">
        <is>
          <t>BB-</t>
        </is>
      </c>
      <c r="B47" s="33" t="n">
        <v>1</v>
      </c>
    </row>
    <row r="48">
      <c r="A48" s="32" t="inlineStr">
        <is>
          <t>B+</t>
        </is>
      </c>
      <c r="B48" s="33" t="n">
        <v>1</v>
      </c>
    </row>
    <row r="49">
      <c r="A49" s="32" t="inlineStr">
        <is>
          <t>B</t>
        </is>
      </c>
      <c r="B49" s="33" t="n">
        <v>1</v>
      </c>
    </row>
    <row r="50">
      <c r="A50" s="32" t="inlineStr">
        <is>
          <t>B-</t>
        </is>
      </c>
      <c r="B50" s="33" t="n">
        <v>1</v>
      </c>
    </row>
    <row r="51">
      <c r="A51" s="32" t="inlineStr">
        <is>
          <t>&lt; B-</t>
        </is>
      </c>
      <c r="B51" s="33" t="n">
        <v>1.5</v>
      </c>
    </row>
    <row r="52">
      <c r="A52" s="32" t="inlineStr">
        <is>
          <t>Non noté</t>
        </is>
      </c>
      <c r="B52" s="33" t="n">
        <v>0.5</v>
      </c>
    </row>
  </sheetData>
  <pageMargins left="0.7" right="0.7" top="0.75" bottom="0.75" header="0.3" footer="0.3"/>
</worksheet>
</file>

<file path=xl/worksheets/sheet9.xml><?xml version="1.0" encoding="utf-8"?>
<worksheet xmlns="http://schemas.openxmlformats.org/spreadsheetml/2006/main">
  <sheetPr codeName="Feuil9">
    <tabColor theme="7" tint="0.3999755851924192"/>
    <outlinePr summaryBelow="1" summaryRight="1"/>
    <pageSetUpPr/>
  </sheetPr>
  <dimension ref="A1:H27"/>
  <sheetViews>
    <sheetView workbookViewId="0">
      <selection activeCell="C13" sqref="C13"/>
    </sheetView>
  </sheetViews>
  <sheetFormatPr baseColWidth="10" defaultRowHeight="14.5"/>
  <cols>
    <col width="13" customWidth="1" style="173" min="7" max="7"/>
    <col width="85" customWidth="1" style="173" min="8" max="8"/>
  </cols>
  <sheetData>
    <row r="1" ht="15.5" customHeight="1" s="173">
      <c r="A1" s="44" t="inlineStr">
        <is>
          <t>Les institutions financières englobent  (Art. 128):</t>
        </is>
      </c>
      <c r="G1" s="50" t="n"/>
      <c r="H1" s="51" t="inlineStr">
        <is>
          <t xml:space="preserve">Remarques : </t>
        </is>
      </c>
    </row>
    <row r="2" ht="47.5" customHeight="1" s="173">
      <c r="A2" s="52" t="inlineStr">
        <is>
          <t>(a) les entreprises du secteur bancaire</t>
        </is>
      </c>
      <c r="B2" s="38" t="n"/>
      <c r="C2" s="38" t="n"/>
      <c r="D2" s="38" t="n"/>
      <c r="E2" s="38" t="n"/>
      <c r="G2" s="53" t="n"/>
      <c r="H2" s="54" t="inlineStr">
        <is>
          <t>Pour les entreprises du secteur bancaire constituées en dehors de l'UMOA, l'établissement doit s'assurer que ces entités sont soumises à des dispositions de surveillance et réglementaires au moins équivalentes à celles de l'UMOA. Autrement, ces expositions sont pondérées à 100%</t>
        </is>
      </c>
    </row>
    <row r="3" ht="15.5" customHeight="1" s="173">
      <c r="A3" s="52" t="inlineStr">
        <is>
          <t>(b) les services financiers des administrations de poste</t>
        </is>
      </c>
      <c r="B3" s="38" t="n"/>
      <c r="C3" s="38" t="n"/>
      <c r="D3" s="38" t="n"/>
      <c r="E3" s="38" t="n"/>
      <c r="G3" s="55" t="inlineStr">
        <is>
          <t xml:space="preserve">Pondération = </t>
        </is>
      </c>
      <c r="H3" s="56" t="n">
        <v>1</v>
      </c>
    </row>
    <row r="4" ht="15.5" customHeight="1" s="173">
      <c r="A4" s="52" t="inlineStr">
        <is>
          <t>(c) les caisses nationales d'épargne</t>
        </is>
      </c>
      <c r="B4" s="38" t="n"/>
      <c r="C4" s="38" t="n"/>
      <c r="D4" s="38" t="n"/>
      <c r="E4" s="38" t="n"/>
    </row>
    <row r="5" ht="31" customHeight="1" s="173">
      <c r="A5" s="52" t="inlineStr">
        <is>
          <t>(d) les autres institutions financières internationales.</t>
        </is>
      </c>
      <c r="B5" s="38" t="n"/>
      <c r="C5" s="38" t="n"/>
      <c r="D5" s="38" t="n"/>
      <c r="E5" s="38" t="n"/>
      <c r="H5" s="54" t="inlineStr">
        <is>
          <t>Les SFD non soumises à la supervision de la Commission Bancaire sont traités dans la catégorie des entreprises.</t>
        </is>
      </c>
    </row>
    <row r="7" ht="31" customHeight="1" s="173">
      <c r="A7" s="57" t="inlineStr">
        <is>
          <t xml:space="preserve">Échéance initiale  &gt; 3 mois </t>
        </is>
      </c>
      <c r="B7" s="58" t="n"/>
      <c r="C7" s="59" t="n"/>
      <c r="D7" s="57" t="inlineStr">
        <is>
          <t xml:space="preserve">Échéance initiale  &lt; 3 mois </t>
        </is>
      </c>
      <c r="E7" s="59" t="n"/>
      <c r="H7" s="54" t="inlineStr">
        <is>
          <t>Si un établissement a des fonds propres négatifs → l’exposition est entièrement déduite des fonds propres CET1.</t>
        </is>
      </c>
    </row>
    <row r="9" ht="31" customHeight="1" s="173">
      <c r="A9" s="31" t="inlineStr">
        <is>
          <t xml:space="preserve">Notation </t>
        </is>
      </c>
      <c r="B9" s="31" t="inlineStr">
        <is>
          <t>Pondération</t>
        </is>
      </c>
      <c r="D9" s="31" t="inlineStr">
        <is>
          <t xml:space="preserve">Notation </t>
        </is>
      </c>
      <c r="E9" s="31" t="inlineStr">
        <is>
          <t>Pondération</t>
        </is>
      </c>
      <c r="H9" s="54" t="inlineStr">
        <is>
          <t>Si un établissement ne respecte pas les ratios de solvabilité → l’exposition reçoit une pondération de 250%</t>
        </is>
      </c>
    </row>
    <row r="10" ht="15.5" customHeight="1" s="173">
      <c r="A10" s="32" t="inlineStr">
        <is>
          <t xml:space="preserve">AAA </t>
        </is>
      </c>
      <c r="B10" s="33" t="n">
        <v>0.2</v>
      </c>
      <c r="D10" s="32" t="inlineStr">
        <is>
          <t xml:space="preserve">AAA </t>
        </is>
      </c>
      <c r="E10" s="33" t="n">
        <v>0.2</v>
      </c>
      <c r="G10" s="55" t="inlineStr">
        <is>
          <t xml:space="preserve">Pondération = </t>
        </is>
      </c>
      <c r="H10" s="56" t="n">
        <v>2.5</v>
      </c>
    </row>
    <row r="11">
      <c r="A11" s="32" t="inlineStr">
        <is>
          <t>AA+</t>
        </is>
      </c>
      <c r="B11" s="33" t="n">
        <v>0.2</v>
      </c>
      <c r="D11" s="32" t="inlineStr">
        <is>
          <t>AA+</t>
        </is>
      </c>
      <c r="E11" s="33" t="n">
        <v>0.2</v>
      </c>
    </row>
    <row r="12">
      <c r="A12" s="32" t="inlineStr">
        <is>
          <t>AA</t>
        </is>
      </c>
      <c r="B12" s="33" t="n">
        <v>0.2</v>
      </c>
      <c r="D12" s="32" t="inlineStr">
        <is>
          <t>AA</t>
        </is>
      </c>
      <c r="E12" s="33" t="n">
        <v>0.2</v>
      </c>
    </row>
    <row r="13">
      <c r="A13" s="32" t="inlineStr">
        <is>
          <t>AA-</t>
        </is>
      </c>
      <c r="B13" s="33" t="n">
        <v>0.2</v>
      </c>
      <c r="D13" s="32" t="inlineStr">
        <is>
          <t>AA-</t>
        </is>
      </c>
      <c r="E13" s="33" t="n">
        <v>0.2</v>
      </c>
    </row>
    <row r="14">
      <c r="A14" s="32" t="inlineStr">
        <is>
          <t xml:space="preserve">A+ </t>
        </is>
      </c>
      <c r="B14" s="33" t="n">
        <v>0.5</v>
      </c>
      <c r="D14" s="32" t="inlineStr">
        <is>
          <t xml:space="preserve">A+ </t>
        </is>
      </c>
      <c r="E14" s="33" t="n">
        <v>0.2</v>
      </c>
    </row>
    <row r="15">
      <c r="A15" s="32" t="inlineStr">
        <is>
          <t>A</t>
        </is>
      </c>
      <c r="B15" s="33" t="n">
        <v>0.5</v>
      </c>
      <c r="D15" s="32" t="inlineStr">
        <is>
          <t>A</t>
        </is>
      </c>
      <c r="E15" s="33" t="n">
        <v>0.2</v>
      </c>
    </row>
    <row r="16">
      <c r="A16" s="32" t="inlineStr">
        <is>
          <t>A-</t>
        </is>
      </c>
      <c r="B16" s="33" t="n">
        <v>0.5</v>
      </c>
      <c r="D16" s="32" t="inlineStr">
        <is>
          <t>A-</t>
        </is>
      </c>
      <c r="E16" s="33" t="n">
        <v>0.2</v>
      </c>
    </row>
    <row r="17">
      <c r="A17" s="32" t="inlineStr">
        <is>
          <t xml:space="preserve">BBB+ </t>
        </is>
      </c>
      <c r="B17" s="33" t="n">
        <v>0.5</v>
      </c>
      <c r="D17" s="32" t="inlineStr">
        <is>
          <t xml:space="preserve">BBB+ </t>
        </is>
      </c>
      <c r="E17" s="33" t="n">
        <v>0.2</v>
      </c>
    </row>
    <row r="18">
      <c r="A18" s="32" t="inlineStr">
        <is>
          <t>BBB</t>
        </is>
      </c>
      <c r="B18" s="33" t="n">
        <v>0.5</v>
      </c>
      <c r="D18" s="32" t="inlineStr">
        <is>
          <t>BBB</t>
        </is>
      </c>
      <c r="E18" s="33" t="n">
        <v>0.2</v>
      </c>
    </row>
    <row r="19">
      <c r="A19" s="32" t="inlineStr">
        <is>
          <t>BBB-</t>
        </is>
      </c>
      <c r="B19" s="33" t="n">
        <v>0.5</v>
      </c>
      <c r="D19" s="32" t="inlineStr">
        <is>
          <t>BBB-</t>
        </is>
      </c>
      <c r="E19" s="33" t="n">
        <v>0.2</v>
      </c>
    </row>
    <row r="20">
      <c r="A20" s="32" t="inlineStr">
        <is>
          <t>BB+</t>
        </is>
      </c>
      <c r="B20" s="33" t="n">
        <v>1</v>
      </c>
      <c r="D20" s="32" t="inlineStr">
        <is>
          <t>BB+</t>
        </is>
      </c>
      <c r="E20" s="33" t="n">
        <v>0.5</v>
      </c>
    </row>
    <row r="21">
      <c r="A21" s="32" t="inlineStr">
        <is>
          <t>BB</t>
        </is>
      </c>
      <c r="B21" s="33" t="n">
        <v>1</v>
      </c>
      <c r="D21" s="32" t="inlineStr">
        <is>
          <t>BB</t>
        </is>
      </c>
      <c r="E21" s="33" t="n">
        <v>0.5</v>
      </c>
    </row>
    <row r="22">
      <c r="A22" s="32" t="inlineStr">
        <is>
          <t>BB-</t>
        </is>
      </c>
      <c r="B22" s="33" t="n">
        <v>1</v>
      </c>
      <c r="D22" s="32" t="inlineStr">
        <is>
          <t>BB-</t>
        </is>
      </c>
      <c r="E22" s="33" t="n">
        <v>0.5</v>
      </c>
    </row>
    <row r="23">
      <c r="A23" s="32" t="inlineStr">
        <is>
          <t>B+</t>
        </is>
      </c>
      <c r="B23" s="33" t="n">
        <v>1</v>
      </c>
      <c r="D23" s="32" t="inlineStr">
        <is>
          <t>B+</t>
        </is>
      </c>
      <c r="E23" s="33" t="n">
        <v>0.5</v>
      </c>
    </row>
    <row r="24">
      <c r="A24" s="32" t="inlineStr">
        <is>
          <t>B</t>
        </is>
      </c>
      <c r="B24" s="33" t="n">
        <v>1</v>
      </c>
      <c r="D24" s="32" t="inlineStr">
        <is>
          <t>B</t>
        </is>
      </c>
      <c r="E24" s="33" t="n">
        <v>0.5</v>
      </c>
    </row>
    <row r="25">
      <c r="A25" s="32" t="inlineStr">
        <is>
          <t>B-</t>
        </is>
      </c>
      <c r="B25" s="33" t="n">
        <v>1</v>
      </c>
      <c r="D25" s="32" t="inlineStr">
        <is>
          <t>B-</t>
        </is>
      </c>
      <c r="E25" s="33" t="n">
        <v>0.5</v>
      </c>
    </row>
    <row r="26">
      <c r="A26" s="32" t="inlineStr">
        <is>
          <t>&lt; B-</t>
        </is>
      </c>
      <c r="B26" s="33" t="n">
        <v>1.5</v>
      </c>
      <c r="D26" s="32" t="inlineStr">
        <is>
          <t>&lt; B-</t>
        </is>
      </c>
      <c r="E26" s="33" t="n">
        <v>1.5</v>
      </c>
    </row>
    <row r="27">
      <c r="A27" s="32" t="inlineStr">
        <is>
          <t>Non noté</t>
        </is>
      </c>
      <c r="B27" s="33" t="n">
        <v>0.5</v>
      </c>
      <c r="D27" s="32" t="inlineStr">
        <is>
          <t>Non noté</t>
        </is>
      </c>
      <c r="E27" s="33" t="n">
        <v>0.2</v>
      </c>
    </row>
  </sheetData>
  <pageMargins left="0.7" right="0.7" top="0.75" bottom="0.75" header="0.3" footer="0.3"/>
</worksheet>
</file>

<file path=xl/worksheets/sheet10.xml><?xml version="1.0" encoding="utf-8"?>
<worksheet xmlns="http://schemas.openxmlformats.org/spreadsheetml/2006/main">
  <sheetPr codeName="Feuil10">
    <tabColor rgb="FF7030A0"/>
    <outlinePr summaryBelow="1" summaryRight="1"/>
    <pageSetUpPr/>
  </sheetPr>
  <dimension ref="A2:E23"/>
  <sheetViews>
    <sheetView workbookViewId="0">
      <selection activeCell="D4" sqref="D4"/>
    </sheetView>
  </sheetViews>
  <sheetFormatPr baseColWidth="10" defaultRowHeight="14.5"/>
  <cols>
    <col width="33.1796875" customWidth="1" style="173" min="1" max="1"/>
    <col width="100.90625" customWidth="1" style="173" min="5" max="5"/>
    <col width="74.54296875" customWidth="1" style="173" min="9" max="9"/>
  </cols>
  <sheetData>
    <row r="2" ht="48" customHeight="1" s="173">
      <c r="A2" s="60" t="inlineStr">
        <is>
          <t>Les expositions sur les entreprises sont affectées d'une pondération conformément au tableau ci-après (Art. 132)</t>
        </is>
      </c>
      <c r="E2" s="60" t="inlineStr">
        <is>
          <t>Remarques</t>
        </is>
      </c>
    </row>
    <row r="3" ht="31" customHeight="1" s="173">
      <c r="E3" s="54" t="inlineStr">
        <is>
          <t>Si le taux brut de dégradation du portefeuille entreprises dépasse le seuil 
BCEAO sur deux trimestres consécutifs → pondération &gt; 100% Art. 133).</t>
        </is>
      </c>
    </row>
    <row r="4" ht="15.5" customHeight="1" s="173">
      <c r="A4" s="31" t="inlineStr">
        <is>
          <t xml:space="preserve">Notation </t>
        </is>
      </c>
      <c r="B4" s="31" t="inlineStr">
        <is>
          <t>Pondération</t>
        </is>
      </c>
      <c r="D4" s="55" t="inlineStr">
        <is>
          <t>Pondération</t>
        </is>
      </c>
      <c r="E4" s="61" t="n">
        <v>1</v>
      </c>
    </row>
    <row r="5" ht="14" customHeight="1" s="173">
      <c r="A5" s="32" t="inlineStr">
        <is>
          <t xml:space="preserve">AAA </t>
        </is>
      </c>
      <c r="B5" s="33" t="n">
        <v>0.2</v>
      </c>
      <c r="C5" s="35" t="n"/>
      <c r="E5" s="62" t="n"/>
    </row>
    <row r="6" ht="14" customHeight="1" s="173">
      <c r="A6" s="32" t="inlineStr">
        <is>
          <t>AA+</t>
        </is>
      </c>
      <c r="B6" s="33" t="n">
        <v>0.2</v>
      </c>
      <c r="C6" s="35" t="n"/>
      <c r="E6" s="63" t="inlineStr">
        <is>
          <t>Entreprise UEMOA faisant l’objet d’une procédure prudentielle (informa</t>
        </is>
      </c>
    </row>
    <row r="7" ht="14" customHeight="1" s="173">
      <c r="A7" s="32" t="inlineStr">
        <is>
          <t>AA</t>
        </is>
      </c>
      <c r="B7" s="33" t="n">
        <v>0.2</v>
      </c>
      <c r="C7" s="35" t="n"/>
      <c r="E7" s="63" t="inlineStr">
        <is>
          <t>tions financières erronées) → pondération plus élevée (Art. 133)</t>
        </is>
      </c>
    </row>
    <row r="8" ht="14" customHeight="1" s="173">
      <c r="A8" s="32" t="inlineStr">
        <is>
          <t>AA-</t>
        </is>
      </c>
      <c r="B8" s="33" t="n">
        <v>0.2</v>
      </c>
      <c r="C8" s="35" t="n"/>
      <c r="E8" s="63" t="inlineStr">
        <is>
          <t xml:space="preserve"> Expositions sur entreprises d’investissement non soumises à la loi ban</t>
        </is>
      </c>
    </row>
    <row r="9" ht="14" customHeight="1" s="173">
      <c r="A9" s="32" t="inlineStr">
        <is>
          <t xml:space="preserve">A+ </t>
        </is>
      </c>
      <c r="B9" s="33" t="n">
        <v>0.5</v>
      </c>
      <c r="C9" s="35" t="n"/>
      <c r="E9" s="63" t="inlineStr">
        <is>
          <t>caire → traitement comme créances sur entreprises (Art. 133).</t>
        </is>
      </c>
    </row>
    <row r="10" ht="14" customHeight="1" s="173">
      <c r="A10" s="32" t="inlineStr">
        <is>
          <t>A</t>
        </is>
      </c>
      <c r="B10" s="33" t="n">
        <v>0.5</v>
      </c>
      <c r="C10" s="35" t="n"/>
      <c r="E10" s="63" t="inlineStr">
        <is>
          <t xml:space="preserve">Entreprise non notée → pondération ne pouvant être plus favorable que </t>
        </is>
      </c>
    </row>
    <row r="11" ht="14" customHeight="1" s="173">
      <c r="A11" s="32" t="inlineStr">
        <is>
          <t>A-</t>
        </is>
      </c>
      <c r="B11" s="33" t="n">
        <v>0.5</v>
      </c>
      <c r="C11" s="35" t="n"/>
      <c r="E11" s="63" t="inlineStr">
        <is>
          <t>celle de l’État du siège social (Art. 134)</t>
        </is>
      </c>
    </row>
    <row r="12" ht="14" customHeight="1" s="173">
      <c r="A12" s="32" t="inlineStr">
        <is>
          <t xml:space="preserve">BBB+ </t>
        </is>
      </c>
      <c r="B12" s="33" t="n">
        <v>1</v>
      </c>
      <c r="C12" s="35" t="n"/>
    </row>
    <row r="13" ht="14" customHeight="1" s="173">
      <c r="A13" s="32" t="inlineStr">
        <is>
          <t>BBB</t>
        </is>
      </c>
      <c r="B13" s="33" t="n">
        <v>1</v>
      </c>
      <c r="C13" s="35" t="n"/>
    </row>
    <row r="14" ht="14" customHeight="1" s="173">
      <c r="A14" s="32" t="inlineStr">
        <is>
          <t>BBB-</t>
        </is>
      </c>
      <c r="B14" s="33" t="n">
        <v>1</v>
      </c>
      <c r="C14" s="35" t="n"/>
    </row>
    <row r="15" ht="14" customHeight="1" s="173">
      <c r="A15" s="32" t="inlineStr">
        <is>
          <t>BB+</t>
        </is>
      </c>
      <c r="B15" s="33" t="n">
        <v>1</v>
      </c>
      <c r="C15" s="35" t="n"/>
    </row>
    <row r="16" ht="14" customHeight="1" s="173">
      <c r="A16" s="32" t="inlineStr">
        <is>
          <t>BB</t>
        </is>
      </c>
      <c r="B16" s="33" t="n">
        <v>1</v>
      </c>
      <c r="C16" s="35" t="n"/>
    </row>
    <row r="17" ht="14" customHeight="1" s="173">
      <c r="A17" s="32" t="inlineStr">
        <is>
          <t>BB-</t>
        </is>
      </c>
      <c r="B17" s="33" t="n">
        <v>1</v>
      </c>
      <c r="C17" s="35" t="n"/>
    </row>
    <row r="18" ht="14" customHeight="1" s="173">
      <c r="A18" s="32" t="inlineStr">
        <is>
          <t>&lt; BB-</t>
        </is>
      </c>
      <c r="B18" s="33" t="n">
        <v>1.5</v>
      </c>
      <c r="C18" s="35" t="n"/>
    </row>
    <row r="19" ht="14" customHeight="1" s="173">
      <c r="A19" s="32" t="inlineStr">
        <is>
          <t>Non noté</t>
        </is>
      </c>
      <c r="B19" s="33" t="n">
        <v>1</v>
      </c>
      <c r="C19" s="35" t="n"/>
    </row>
    <row r="20" ht="14" customHeight="1" s="173"/>
    <row r="23">
      <c r="A23" s="64" t="n"/>
      <c r="B23" s="64" t="n"/>
      <c r="C23" s="64" t="n"/>
    </row>
  </sheetData>
  <pageMargins left="0.7" right="0.7" top="0.75" bottom="0.75" header="0.3" footer="0.3"/>
</worksheet>
</file>

<file path=xl/worksheets/sheet11.xml><?xml version="1.0" encoding="utf-8"?>
<worksheet xmlns="http://schemas.openxmlformats.org/spreadsheetml/2006/main">
  <sheetPr codeName="Feuil11">
    <tabColor theme="6"/>
    <outlinePr summaryBelow="1" summaryRight="1"/>
    <pageSetUpPr/>
  </sheetPr>
  <dimension ref="A1:B19"/>
  <sheetViews>
    <sheetView topLeftCell="A13" workbookViewId="0">
      <selection activeCell="C13" sqref="C13"/>
    </sheetView>
  </sheetViews>
  <sheetFormatPr baseColWidth="10" defaultRowHeight="14.5"/>
  <cols>
    <col width="18.81640625" customWidth="1" style="173" min="1" max="1"/>
    <col width="90.26953125" customWidth="1" style="173" min="2" max="2"/>
  </cols>
  <sheetData>
    <row r="1" ht="15.5" customHeight="1" s="173">
      <c r="A1" s="36" t="inlineStr">
        <is>
          <t>Une exposition est classée en clientèle de détail si les critères suivants sont vérifiés</t>
        </is>
      </c>
      <c r="B1" s="65" t="n"/>
    </row>
    <row r="2" ht="15" customHeight="1" s="173">
      <c r="A2" s="66" t="inlineStr">
        <is>
          <t>Critère</t>
        </is>
      </c>
      <c r="B2" s="66" t="inlineStr">
        <is>
          <t>Condition</t>
        </is>
      </c>
    </row>
    <row r="3" ht="15.5" customHeight="1" s="173">
      <c r="A3" s="67" t="inlineStr">
        <is>
          <t>Destination</t>
        </is>
      </c>
      <c r="B3" s="68" t="inlineStr">
        <is>
          <t>Particulier ou PME/PMI</t>
        </is>
      </c>
    </row>
    <row r="4" ht="15.5" customHeight="1" s="173">
      <c r="A4" s="67" t="inlineStr">
        <is>
          <t>Produits concernés</t>
        </is>
      </c>
      <c r="B4" s="68" t="inlineStr">
        <is>
          <t>Crédits (CT/MT/LT), découverts, cartes de crédit, crédit-bail, facilités aux PME</t>
        </is>
      </c>
    </row>
    <row r="5" ht="15.5" customHeight="1" s="173">
      <c r="A5" s="67" t="inlineStr">
        <is>
          <t>Granularité</t>
        </is>
      </c>
      <c r="B5" s="68" t="inlineStr">
        <is>
          <t>Une exposition ≤ 0,2% du portefeuille retail global</t>
        </is>
      </c>
    </row>
    <row r="6" ht="15.5" customHeight="1" s="173">
      <c r="A6" s="67" t="inlineStr">
        <is>
          <t>Faible montant</t>
        </is>
      </c>
      <c r="B6" s="68" t="inlineStr">
        <is>
          <t>Encours agrégé par contrepartie ≤ 150 millions FCFA</t>
        </is>
      </c>
    </row>
    <row r="7" ht="15.5" customHeight="1" s="173">
      <c r="A7" s="67" t="inlineStr">
        <is>
          <t>Consentement BIC</t>
        </is>
      </c>
      <c r="B7" s="68" t="inlineStr">
        <is>
          <t>Accord du client pour transmission des données au Bureau d’Information sur le Crédit (BIC)</t>
        </is>
      </c>
    </row>
    <row r="8" ht="20" customHeight="1" s="173"/>
    <row r="9">
      <c r="A9" s="69" t="inlineStr">
        <is>
          <t>Pondération</t>
        </is>
      </c>
      <c r="B9" s="70" t="n">
        <v>0.75</v>
      </c>
    </row>
    <row r="12" ht="15.5" customHeight="1" s="173">
      <c r="A12" s="36" t="inlineStr">
        <is>
          <t xml:space="preserve">Remarques </t>
        </is>
      </c>
    </row>
    <row r="13" ht="15.5" customHeight="1" s="173">
      <c r="A13" s="71" t="inlineStr">
        <is>
          <t>Sicritères non respectés → traitement comme exposition sur entrepris</t>
        </is>
      </c>
      <c r="B13" s="71" t="n"/>
    </row>
    <row r="14" ht="15.5" customHeight="1" s="173">
      <c r="A14" s="71" t="inlineStr">
        <is>
          <t>Expositions sur retail en défaut → traitement spécifique comme exposition en défaut</t>
        </is>
      </c>
      <c r="B14" s="71" t="n"/>
    </row>
    <row r="15" ht="15.5" customHeight="1" s="173">
      <c r="A15" s="71" t="inlineStr">
        <is>
          <t>Sitauxbrut de dégradation &gt; seuil BCEAO pendant 2 trimestres consécutifs → pondération &gt; 75 %</t>
        </is>
      </c>
      <c r="B15" s="71" t="n"/>
    </row>
    <row r="17" ht="15.5" customHeight="1" s="173">
      <c r="A17" s="36" t="inlineStr">
        <is>
          <t>Exclusion</t>
        </is>
      </c>
    </row>
    <row r="18" ht="15.5" customHeight="1" s="173">
      <c r="A18" s="71" t="inlineStr">
        <is>
          <t>Actionset obligations (cotées ou non)</t>
        </is>
      </c>
    </row>
    <row r="19" ht="15.5" customHeight="1" s="173">
      <c r="A19" s="71" t="inlineStr">
        <is>
          <t>Créanceshypothécaires bénéficiant d’un régime spécifiqu</t>
        </is>
      </c>
    </row>
  </sheetData>
  <pageMargins left="0.7" right="0.7" top="0.75" bottom="0.75" header="0.3" footer="0.3"/>
</worksheet>
</file>

<file path=xl/worksheets/sheet12.xml><?xml version="1.0" encoding="utf-8"?>
<worksheet xmlns="http://schemas.openxmlformats.org/spreadsheetml/2006/main">
  <sheetPr codeName="Feuil12">
    <tabColor rgb="FFC00000"/>
    <outlinePr summaryBelow="1" summaryRight="1"/>
    <pageSetUpPr/>
  </sheetPr>
  <dimension ref="A1:P14"/>
  <sheetViews>
    <sheetView topLeftCell="A6" workbookViewId="0">
      <selection activeCell="D9" sqref="D9"/>
    </sheetView>
  </sheetViews>
  <sheetFormatPr baseColWidth="10" defaultRowHeight="14.5"/>
  <cols>
    <col width="15.26953125" customWidth="1" style="173" min="1" max="1"/>
  </cols>
  <sheetData>
    <row r="1" ht="15.5" customHeight="1" s="173">
      <c r="A1" s="36" t="inlineStr">
        <is>
          <t xml:space="preserve"> Prêts garantis par l'Immobilier Résidentiel</t>
        </is>
      </c>
      <c r="B1" s="36" t="n"/>
      <c r="C1" s="36" t="n"/>
      <c r="D1" s="36" t="n"/>
    </row>
    <row r="2" ht="18.5" customHeight="1" s="173">
      <c r="A2" s="65" t="n"/>
      <c r="B2" s="65" t="n"/>
      <c r="C2" s="65" t="n"/>
      <c r="D2" s="65" t="n"/>
      <c r="I2" s="72" t="n"/>
      <c r="J2" s="73" t="n"/>
      <c r="K2" s="73" t="n"/>
      <c r="L2" s="73" t="n"/>
      <c r="M2" s="73" t="n"/>
      <c r="N2" s="73" t="n"/>
      <c r="O2" s="73" t="n"/>
      <c r="P2" s="73" t="n"/>
    </row>
    <row r="3" ht="18.5" customHeight="1" s="173">
      <c r="A3" s="74" t="inlineStr">
        <is>
          <t>(a) Crédits à l'habitat accordés aux particuliers.</t>
        </is>
      </c>
      <c r="B3" s="74" t="n"/>
      <c r="C3" s="74" t="n"/>
      <c r="D3" s="74" t="n"/>
      <c r="E3" s="75" t="n"/>
      <c r="F3" s="75" t="n"/>
      <c r="G3" s="75" t="n"/>
      <c r="N3" s="73" t="n"/>
      <c r="O3" s="73" t="n"/>
      <c r="P3" s="73" t="n"/>
    </row>
    <row r="4" ht="18.5" customHeight="1" s="173">
      <c r="A4" s="74" t="inlineStr">
        <is>
          <t>(b) Crédits-bails immobiliers à usage d'habitation.</t>
        </is>
      </c>
      <c r="B4" s="74" t="n"/>
      <c r="C4" s="74" t="n"/>
      <c r="D4" s="74" t="n"/>
      <c r="E4" s="75" t="n"/>
      <c r="F4" s="75" t="n"/>
      <c r="G4" s="75" t="n"/>
      <c r="N4" s="73" t="n"/>
      <c r="O4" s="73" t="n"/>
      <c r="P4" s="73" t="n"/>
    </row>
    <row r="5" ht="18.5" customHeight="1" s="173">
      <c r="A5" s="74" t="inlineStr">
        <is>
          <t>(c) Prêts aux coopératives de logement.</t>
        </is>
      </c>
      <c r="B5" s="74" t="n"/>
      <c r="C5" s="74" t="n"/>
      <c r="D5" s="74" t="n"/>
      <c r="E5" s="75" t="n"/>
      <c r="F5" s="75" t="n"/>
      <c r="G5" s="75" t="n"/>
      <c r="N5" s="73" t="n"/>
      <c r="O5" s="73" t="n"/>
      <c r="P5" s="73" t="n"/>
    </row>
    <row r="6" ht="15.5" customHeight="1" s="173">
      <c r="A6" s="76" t="n"/>
      <c r="B6" s="76" t="n"/>
      <c r="C6" s="76" t="n"/>
      <c r="D6" s="76" t="n"/>
      <c r="E6" s="77" t="n"/>
      <c r="F6" s="77" t="n"/>
      <c r="G6" s="77" t="n"/>
    </row>
    <row r="7" ht="18.5" customHeight="1" s="173">
      <c r="A7" s="78" t="inlineStr">
        <is>
          <t>Critères d'éligibilité cumulatifs (Art. 143) :</t>
        </is>
      </c>
      <c r="B7" s="65" t="n"/>
      <c r="C7" s="65" t="n"/>
      <c r="D7" s="65" t="n"/>
      <c r="E7" s="73" t="n"/>
      <c r="F7" s="77" t="n"/>
      <c r="G7" s="77" t="n"/>
    </row>
    <row r="8" ht="18.5" customHeight="1" s="173">
      <c r="A8" s="65" t="inlineStr">
        <is>
          <t>Ratio Prêt/Valeur (LTV) ≤ 90%</t>
        </is>
      </c>
      <c r="B8" s="65" t="n"/>
      <c r="C8" s="65" t="n"/>
      <c r="D8" s="65" t="n"/>
      <c r="E8" s="73" t="n"/>
      <c r="F8" s="77" t="n"/>
      <c r="G8" s="77" t="n"/>
    </row>
    <row r="9" ht="18.5" customHeight="1" s="173">
      <c r="A9" s="65" t="inlineStr">
        <is>
          <t>Ratio de couverture du service de la dette ≤ 40%</t>
        </is>
      </c>
      <c r="B9" s="65" t="n"/>
      <c r="C9" s="65" t="n"/>
      <c r="D9" s="65" t="n"/>
      <c r="E9" s="73" t="n"/>
    </row>
    <row r="10" ht="18.5" customHeight="1" s="173">
      <c r="A10" s="65" t="inlineStr">
        <is>
          <t>Accord du client pour la transmission des données aux Bureaux d'Information sur le Crédit (BIC).</t>
        </is>
      </c>
      <c r="B10" s="65" t="n"/>
      <c r="C10" s="65" t="n"/>
      <c r="D10" s="65" t="n"/>
      <c r="E10" s="73" t="n"/>
    </row>
    <row r="11" ht="15.5" customHeight="1" s="173">
      <c r="A11" s="65" t="n"/>
      <c r="B11" s="65" t="n"/>
      <c r="C11" s="65" t="n"/>
      <c r="D11" s="65" t="n"/>
    </row>
    <row r="12" ht="15.5" customHeight="1" s="173">
      <c r="A12" s="55" t="inlineStr">
        <is>
          <t xml:space="preserve">Pondération = </t>
        </is>
      </c>
      <c r="B12" s="56" t="n">
        <v>0.35</v>
      </c>
      <c r="C12" s="65" t="n"/>
      <c r="D12" s="65" t="n"/>
    </row>
    <row r="13" ht="15.5" customHeight="1" s="173">
      <c r="A13" s="65" t="n"/>
      <c r="B13" s="65" t="n"/>
      <c r="C13" s="65" t="n"/>
      <c r="D13" s="65" t="n"/>
    </row>
    <row r="14" ht="15.5" customHeight="1" s="173">
      <c r="A14" s="36" t="inlineStr">
        <is>
          <t>NB : La pondération peut être relevée au-delà de 35% si la qualité du portefeuille global se dégrade selon les seuils de la BCEAO.</t>
        </is>
      </c>
      <c r="B14" s="65" t="n"/>
      <c r="C14" s="65" t="n"/>
      <c r="D14" s="65" t="n"/>
    </row>
  </sheetData>
  <pageMargins left="0.7" right="0.7" top="0.75" bottom="0.75" header="0.3" footer="0.3"/>
</worksheet>
</file>

<file path=xl/worksheets/sheet13.xml><?xml version="1.0" encoding="utf-8"?>
<worksheet xmlns="http://schemas.openxmlformats.org/spreadsheetml/2006/main">
  <sheetPr codeName="Feuil13">
    <tabColor rgb="FF002060"/>
    <outlinePr summaryBelow="1" summaryRight="1"/>
    <pageSetUpPr/>
  </sheetPr>
  <dimension ref="A1:Y17"/>
  <sheetViews>
    <sheetView topLeftCell="A6" zoomScale="70" zoomScaleNormal="70" workbookViewId="0">
      <selection activeCell="R18" sqref="R18"/>
    </sheetView>
  </sheetViews>
  <sheetFormatPr baseColWidth="10" defaultRowHeight="15.5"/>
  <cols>
    <col width="14.26953125" customWidth="1" style="79" min="1" max="1"/>
    <col width="10.90625" customWidth="1" style="79" min="2" max="16384"/>
  </cols>
  <sheetData>
    <row r="1">
      <c r="A1" s="36" t="inlineStr">
        <is>
          <t xml:space="preserve"> Prêts garantis par l'Immobilier Commercial</t>
        </is>
      </c>
      <c r="B1" s="36" t="n"/>
      <c r="C1" s="36" t="n"/>
      <c r="D1" s="36" t="n"/>
      <c r="E1" s="76" t="n"/>
      <c r="F1" s="76" t="n"/>
      <c r="G1" s="76" t="n"/>
      <c r="H1" s="65" t="n"/>
      <c r="I1" s="65" t="n"/>
    </row>
    <row r="2">
      <c r="A2" s="76" t="n"/>
      <c r="B2" s="76" t="n"/>
      <c r="C2" s="76" t="n"/>
      <c r="D2" s="76" t="n"/>
      <c r="E2" s="76" t="n"/>
      <c r="F2" s="76" t="n"/>
      <c r="G2" s="76" t="n"/>
      <c r="H2" s="65" t="n"/>
      <c r="I2" s="65" t="n"/>
    </row>
    <row r="3">
      <c r="A3" s="74" t="inlineStr">
        <is>
          <t>(a)-Prêts finançant des biens à usage professionnel, industriel ou commercial.</t>
        </is>
      </c>
      <c r="B3" s="74" t="n"/>
      <c r="C3" s="74" t="n"/>
      <c r="D3" s="74" t="n"/>
      <c r="E3" s="74" t="n"/>
      <c r="F3" s="74" t="n"/>
      <c r="G3" s="74" t="n"/>
      <c r="H3" s="65" t="n"/>
      <c r="I3" s="65" t="n"/>
    </row>
    <row r="4">
      <c r="A4" s="74" t="inlineStr">
        <is>
          <t>(b)-Expositions sur les promoteurs immobiliers.</t>
        </is>
      </c>
      <c r="B4" s="74" t="n"/>
      <c r="C4" s="74" t="n"/>
      <c r="D4" s="74" t="n"/>
      <c r="E4" s="74" t="n"/>
      <c r="F4" s="74" t="n"/>
      <c r="G4" s="74" t="n"/>
      <c r="H4" s="65" t="n"/>
      <c r="I4" s="65" t="n"/>
    </row>
    <row r="5">
      <c r="A5" s="74" t="inlineStr">
        <is>
          <t>(c)-Crédits-bails commerciaux.</t>
        </is>
      </c>
      <c r="B5" s="74" t="n"/>
      <c r="C5" s="74" t="n"/>
      <c r="D5" s="74" t="n"/>
      <c r="E5" s="74" t="n"/>
      <c r="F5" s="74" t="n"/>
      <c r="G5" s="74" t="n"/>
      <c r="H5" s="65" t="n"/>
      <c r="I5" s="65" t="n"/>
    </row>
    <row r="6">
      <c r="A6" s="74" t="inlineStr">
        <is>
          <t>Condition de garantie : Intégralement garantis par une hypothèque de premier rang.</t>
        </is>
      </c>
      <c r="B6" s="74" t="n"/>
      <c r="C6" s="74" t="n"/>
      <c r="D6" s="74" t="n"/>
      <c r="E6" s="74" t="n"/>
      <c r="F6" s="74" t="n"/>
      <c r="G6" s="74" t="n"/>
      <c r="H6" s="65" t="n"/>
      <c r="I6" s="65" t="n"/>
    </row>
    <row r="7">
      <c r="A7" s="65" t="n"/>
      <c r="B7" s="65" t="n"/>
      <c r="C7" s="65" t="n"/>
      <c r="D7" s="65" t="n"/>
      <c r="E7" s="65" t="n"/>
      <c r="F7" s="65" t="n"/>
      <c r="G7" s="65" t="n"/>
      <c r="H7" s="65" t="n"/>
      <c r="I7" s="65" t="n"/>
    </row>
    <row r="8">
      <c r="A8" s="78" t="inlineStr">
        <is>
          <t>Critères d'éligibilité cumulatifs (Art. 147) :</t>
        </is>
      </c>
      <c r="B8" s="65" t="n"/>
      <c r="C8" s="65" t="n"/>
      <c r="D8" s="65" t="n"/>
      <c r="E8" s="65" t="n"/>
      <c r="F8" s="65" t="n"/>
      <c r="G8" s="65" t="n"/>
      <c r="H8" s="65" t="n"/>
      <c r="I8" s="65" t="n"/>
    </row>
    <row r="9">
      <c r="A9" s="65" t="inlineStr">
        <is>
          <t>Ratio Prêt/Valeur (LTV) ≤ 90 %</t>
        </is>
      </c>
      <c r="B9" s="65" t="n"/>
      <c r="C9" s="65" t="n"/>
      <c r="D9" s="65" t="n"/>
      <c r="E9" s="65" t="n"/>
      <c r="F9" s="65" t="n"/>
      <c r="G9" s="65" t="n"/>
      <c r="H9" s="65" t="n"/>
      <c r="I9" s="65" t="n"/>
    </row>
    <row r="10">
      <c r="A10" s="65" t="inlineStr">
        <is>
          <t>Consentement du client à la transmission des données aux BIC.</t>
        </is>
      </c>
      <c r="B10" s="65" t="n"/>
      <c r="C10" s="65" t="n"/>
      <c r="D10" s="65" t="n"/>
      <c r="E10" s="65" t="n"/>
      <c r="F10" s="65" t="n"/>
      <c r="G10" s="65" t="n"/>
      <c r="H10" s="65" t="n"/>
      <c r="I10" s="65" t="n"/>
    </row>
    <row r="11">
      <c r="A11" s="65" t="n"/>
      <c r="B11" s="65" t="n"/>
      <c r="C11" s="65" t="n"/>
      <c r="D11" s="65" t="n"/>
      <c r="E11" s="65" t="n"/>
      <c r="F11" s="65" t="n"/>
      <c r="G11" s="65" t="n"/>
      <c r="H11" s="65" t="n"/>
      <c r="I11" s="65" t="n"/>
    </row>
    <row r="12">
      <c r="A12" s="55" t="inlineStr">
        <is>
          <t xml:space="preserve">Pondération = </t>
        </is>
      </c>
      <c r="B12" s="56">
        <f>75%</f>
        <v/>
      </c>
      <c r="C12" s="65" t="n"/>
      <c r="D12" s="65" t="n"/>
      <c r="E12" s="65" t="n"/>
      <c r="F12" s="65" t="n"/>
      <c r="G12" s="65" t="n"/>
      <c r="H12" s="65" t="n"/>
      <c r="I12" s="65" t="n"/>
    </row>
    <row r="13">
      <c r="A13" s="65" t="n"/>
      <c r="B13" s="65" t="n"/>
      <c r="C13" s="65" t="n"/>
      <c r="D13" s="65" t="n"/>
      <c r="E13" s="65" t="n"/>
      <c r="F13" s="65" t="n"/>
      <c r="G13" s="65" t="n"/>
      <c r="H13" s="65" t="n"/>
      <c r="I13" s="65" t="n"/>
    </row>
    <row r="14">
      <c r="A14" s="36" t="inlineStr">
        <is>
          <t>NB : La pondération peut être relevée au-delà de 75% en cas de dégradation du portefeuille (Art. 150).</t>
        </is>
      </c>
      <c r="B14" s="65" t="n"/>
      <c r="C14" s="65" t="n"/>
      <c r="D14" s="65" t="n"/>
      <c r="E14" s="65" t="n"/>
      <c r="F14" s="65" t="n"/>
      <c r="G14" s="65" t="n"/>
      <c r="H14" s="65" t="n"/>
      <c r="I14" s="65" t="n"/>
      <c r="N14" s="80" t="n"/>
      <c r="O14" s="80" t="n"/>
      <c r="P14" s="80" t="n"/>
      <c r="Q14" s="80" t="n"/>
      <c r="R14" s="80" t="n"/>
      <c r="S14" s="80" t="n"/>
      <c r="T14" s="80" t="n"/>
      <c r="U14" s="80" t="n"/>
      <c r="V14" s="80" t="n"/>
      <c r="W14" s="80" t="n"/>
      <c r="X14" s="80" t="n"/>
      <c r="Y14" s="80" t="n"/>
    </row>
    <row r="15">
      <c r="A15" s="36" t="n"/>
      <c r="B15" s="65" t="n"/>
      <c r="C15" s="65" t="n"/>
      <c r="D15" s="65" t="n"/>
      <c r="E15" s="65" t="n"/>
      <c r="F15" s="65" t="n"/>
      <c r="G15" s="65" t="n"/>
      <c r="H15" s="65" t="n"/>
      <c r="I15" s="65" t="n"/>
      <c r="N15" s="80" t="n"/>
      <c r="O15" s="80" t="n"/>
      <c r="P15" s="80" t="n"/>
      <c r="Q15" s="80" t="n"/>
      <c r="R15" s="80" t="n"/>
      <c r="S15" s="80" t="n"/>
      <c r="T15" s="80" t="n"/>
      <c r="U15" s="80" t="n"/>
      <c r="V15" s="80" t="n"/>
      <c r="W15" s="80" t="n"/>
      <c r="X15" s="80" t="n"/>
      <c r="Y15" s="80" t="n"/>
    </row>
    <row r="16">
      <c r="A16" s="81" t="inlineStr">
        <is>
          <t>Hors Conformité (Pondération Standard)</t>
        </is>
      </c>
      <c r="B16" s="80" t="n"/>
      <c r="C16" s="80" t="n"/>
      <c r="D16" s="80" t="n"/>
      <c r="E16" s="80" t="n"/>
    </row>
    <row r="17">
      <c r="A17" s="82" t="inlineStr">
        <is>
          <t>Si les critères d'éligibilité pour l'immobilier commercial ne sont pas respectés, les expositions sont traitées comme des créances sur une entreprise (le taux dépendra alors de la notation ou de la nature de la contrepartie).</t>
        </is>
      </c>
      <c r="B17" s="80" t="n"/>
      <c r="C17" s="80" t="n"/>
      <c r="D17" s="80" t="n"/>
      <c r="E17" s="80" t="n"/>
    </row>
  </sheetData>
  <pageMargins left="0.7" right="0.7" top="0.75" bottom="0.75" header="0.3" footer="0.3"/>
</worksheet>
</file>

<file path=xl/worksheets/sheet14.xml><?xml version="1.0" encoding="utf-8"?>
<worksheet xmlns="http://schemas.openxmlformats.org/spreadsheetml/2006/main">
  <sheetPr codeName="Feuil14">
    <tabColor theme="7" tint="-0.499954222235786"/>
    <outlinePr summaryBelow="1" summaryRight="1"/>
    <pageSetUpPr/>
  </sheetPr>
  <dimension ref="A2:B9"/>
  <sheetViews>
    <sheetView workbookViewId="0">
      <selection activeCell="A11" sqref="A11"/>
    </sheetView>
  </sheetViews>
  <sheetFormatPr baseColWidth="10" defaultRowHeight="14.5"/>
  <cols>
    <col width="46.1796875" customWidth="1" style="173" min="1" max="1"/>
    <col width="12.81640625" customWidth="1" style="173" min="2" max="2"/>
  </cols>
  <sheetData>
    <row r="2" ht="15.5" customHeight="1" s="173">
      <c r="A2" s="83" t="inlineStr">
        <is>
          <t>Si pondération initiale  &lt; 100%</t>
        </is>
      </c>
      <c r="B2" s="83" t="n"/>
    </row>
    <row r="3" ht="15.5" customHeight="1" s="173">
      <c r="A3" s="84" t="inlineStr">
        <is>
          <t>Elements</t>
        </is>
      </c>
      <c r="B3" s="85" t="inlineStr">
        <is>
          <t>Ponderations</t>
        </is>
      </c>
    </row>
    <row r="4" ht="15.5" customHeight="1" s="173">
      <c r="A4" s="86" t="inlineStr">
        <is>
          <t>Provisions &lt; 20% de l’encours</t>
        </is>
      </c>
      <c r="B4" s="87" t="n">
        <v>1.5</v>
      </c>
    </row>
    <row r="5" ht="15.5" customHeight="1" s="173">
      <c r="A5" s="86" t="inlineStr">
        <is>
          <t>Provisions ≥ 20% de l’encours</t>
        </is>
      </c>
      <c r="B5" s="87" t="n">
        <v>1</v>
      </c>
    </row>
    <row r="6" ht="15.5" customHeight="1" s="173">
      <c r="A6" s="86" t="inlineStr">
        <is>
          <t>Prêt immobilier résidentiel en défaut</t>
        </is>
      </c>
      <c r="B6" s="87" t="n">
        <v>1</v>
      </c>
    </row>
    <row r="7" ht="15.5" customHeight="1" s="173">
      <c r="A7" s="79" t="n"/>
      <c r="B7" s="79" t="n"/>
    </row>
    <row r="8" ht="15.5" customHeight="1" s="173">
      <c r="A8" s="83" t="inlineStr">
        <is>
          <t>Si pondération initiale &gt; 100%</t>
        </is>
      </c>
      <c r="B8" s="83" t="n"/>
    </row>
    <row r="9" ht="15.5" customHeight="1" s="173">
      <c r="A9" s="88" t="inlineStr">
        <is>
          <t>Appliquer la même pondération au prêt en défaut</t>
        </is>
      </c>
      <c r="B9" s="88" t="n"/>
    </row>
  </sheetData>
  <pageMargins left="0.7" right="0.7" top="0.75" bottom="0.75" header="0.3" footer="0.3"/>
</worksheet>
</file>

<file path=xl/worksheets/sheet15.xml><?xml version="1.0" encoding="utf-8"?>
<worksheet xmlns="http://schemas.openxmlformats.org/spreadsheetml/2006/main">
  <sheetPr codeName="Feuil15">
    <tabColor rgb="FFFF0000"/>
    <outlinePr summaryBelow="1" summaryRight="1"/>
    <pageSetUpPr/>
  </sheetPr>
  <dimension ref="A1:B3"/>
  <sheetViews>
    <sheetView workbookViewId="0">
      <selection activeCell="A7" sqref="A7"/>
    </sheetView>
  </sheetViews>
  <sheetFormatPr baseColWidth="10" defaultRowHeight="14.5"/>
  <cols>
    <col width="59.6328125" customWidth="1" style="173" min="1" max="1"/>
  </cols>
  <sheetData>
    <row r="1" ht="43.5" customHeight="1" s="173">
      <c r="A1" s="89" t="inlineStr">
        <is>
          <t>Une pondération minimale de 150% est appliquée aux créances jugées à risque élevé par la BCEAO ou la Commission Bancaire en vue de tenir compte du risque associé à certains débiteurs.</t>
        </is>
      </c>
      <c r="B1" s="90" t="n"/>
    </row>
    <row r="3">
      <c r="A3" s="92" t="inlineStr">
        <is>
          <t>Ponderation</t>
        </is>
      </c>
      <c r="B3" s="93" t="n">
        <v>1.5</v>
      </c>
    </row>
  </sheetData>
  <pageMargins left="0.7" right="0.7" top="0.75" bottom="0.75" header="0.3" footer="0.3"/>
</worksheet>
</file>

<file path=xl/worksheets/sheet16.xml><?xml version="1.0" encoding="utf-8"?>
<worksheet xmlns="http://schemas.openxmlformats.org/spreadsheetml/2006/main">
  <sheetPr codeName="Feuil16">
    <tabColor rgb="FF00B050"/>
    <outlinePr summaryBelow="1" summaryRight="1"/>
    <pageSetUpPr/>
  </sheetPr>
  <dimension ref="A1:B17"/>
  <sheetViews>
    <sheetView topLeftCell="A3" workbookViewId="0">
      <selection activeCell="A9" sqref="A9"/>
    </sheetView>
  </sheetViews>
  <sheetFormatPr baseColWidth="10" defaultRowHeight="14.5"/>
  <cols>
    <col width="96.7265625" customWidth="1" style="173" min="1" max="1"/>
    <col width="11.90625" customWidth="1" style="173" min="2" max="2"/>
  </cols>
  <sheetData>
    <row r="1"/>
    <row r="2" ht="62" customHeight="1" s="173">
      <c r="A2" s="94" t="inlineStr">
        <is>
          <t>Les autres éléments d'actifs correspondent aux expositions non prises en compte dans
les différentes catégories ci-dessus, exclusion faite des éléments d'actifs ayant fait l'objet de
déduction réglementaire au titre du calcul des fonds propres mais également des expositions
soumises à des exigences de fonds propres distinctes</t>
        </is>
      </c>
    </row>
    <row r="3"/>
    <row r="4" ht="15.5" customHeight="1" s="173">
      <c r="A4" s="95" t="inlineStr">
        <is>
          <t>Elements</t>
        </is>
      </c>
      <c r="B4" s="95" t="inlineStr">
        <is>
          <t>Pondérations</t>
        </is>
      </c>
    </row>
    <row r="5" ht="15.5" customHeight="1" s="173">
      <c r="A5" s="96" t="inlineStr">
        <is>
          <t>Encaisse</t>
        </is>
      </c>
      <c r="B5" s="97" t="n">
        <v>0</v>
      </c>
    </row>
    <row r="6" ht="15.5" customHeight="1" s="173">
      <c r="A6" s="96" t="inlineStr">
        <is>
          <t>Valeurs assimilées à l’encaisse (or)</t>
        </is>
      </c>
      <c r="B6" s="97" t="n">
        <v>0</v>
      </c>
    </row>
    <row r="7" ht="15.5" customHeight="1" s="173">
      <c r="A7" s="96" t="inlineStr">
        <is>
          <t>Valeurs à l’encaissement avec crédit immédiat</t>
        </is>
      </c>
      <c r="B7" s="97" t="n">
        <v>0.2</v>
      </c>
    </row>
    <row r="8" ht="15.5" customHeight="1" s="173">
      <c r="A8" s="96" t="inlineStr">
        <is>
          <t>Participations non significatives non déduites des fonds propres</t>
        </is>
      </c>
      <c r="B8" s="97" t="n">
        <v>1</v>
      </c>
    </row>
    <row r="9" ht="15.5" customHeight="1" s="173">
      <c r="A9" s="96" t="inlineStr">
        <is>
          <t>Immobilisations corporelles</t>
        </is>
      </c>
      <c r="B9" s="97" t="n">
        <v>1</v>
      </c>
    </row>
    <row r="10" ht="15.5" customHeight="1" s="173">
      <c r="A10" s="96" t="inlineStr">
        <is>
          <t>Autres actifs divers (comptes d’ordre, dépôts, débiteurs, FCP, stocks)</t>
        </is>
      </c>
      <c r="B10" s="97" t="n">
        <v>1</v>
      </c>
    </row>
    <row r="11" ht="15.5" customHeight="1" s="173">
      <c r="A11" s="166" t="inlineStr">
        <is>
          <t>Engagements en actions non déduits, non soumis à la pondération de 250% et hors actifs à risque élevé(150%)</t>
        </is>
      </c>
      <c r="B11" s="97" t="n">
        <v>1</v>
      </c>
    </row>
    <row r="12" ht="15.5" customHeight="1" s="173">
      <c r="A12" s="96" t="inlineStr">
        <is>
          <t>Expositions sur entreprises financières non soumises à une réglementation équivalente UMOA</t>
        </is>
      </c>
      <c r="B12" s="97" t="n">
        <v>1</v>
      </c>
    </row>
    <row r="13" ht="15.5" customHeight="1" s="173">
      <c r="A13" s="96" t="inlineStr">
        <is>
          <t>Autres éléments d'actifs non définis</t>
        </is>
      </c>
      <c r="B13" s="97" t="n">
        <v>1</v>
      </c>
    </row>
    <row r="14" ht="15.5" customHeight="1" s="173">
      <c r="A14" s="96" t="inlineStr">
        <is>
          <t>Participations significatives et impôts différés actifs non déduits</t>
        </is>
      </c>
      <c r="B14" s="97" t="n">
        <v>2.5</v>
      </c>
    </row>
    <row r="15" ht="15.5" customHeight="1" s="173">
      <c r="A15" s="96" t="inlineStr">
        <is>
          <t>Expositions sur établissements non conformes aux ratios de solvabilité</t>
        </is>
      </c>
      <c r="B15" s="97" t="n">
        <v>2.5</v>
      </c>
    </row>
    <row r="16">
      <c r="A16" s="15" t="inlineStr">
        <is>
          <t>Immobilisations hors exploitation</t>
        </is>
      </c>
      <c r="B16" t="inlineStr">
        <is>
          <t>1</t>
        </is>
      </c>
    </row>
    <row r="17">
      <c r="A17" s="15" t="inlineStr">
        <is>
          <t>Immobilisations incorporelles (deduites des fonds propres de base, poste IM011 de l'EP3M)</t>
        </is>
      </c>
      <c r="B17" t="inlineStr">
        <is>
          <t>0</t>
        </is>
      </c>
    </row>
  </sheetData>
  <pageMargins left="0.7" right="0.7" top="0.75" bottom="0.75" header="0.3" footer="0.3"/>
</worksheet>
</file>

<file path=xl/worksheets/sheet17.xml><?xml version="1.0" encoding="utf-8"?>
<worksheet xmlns="http://schemas.openxmlformats.org/spreadsheetml/2006/main">
  <sheetPr codeName="Feuil17">
    <tabColor rgb="FF0070C0"/>
    <outlinePr summaryBelow="1" summaryRight="1"/>
    <pageSetUpPr/>
  </sheetPr>
  <dimension ref="A1:C32"/>
  <sheetViews>
    <sheetView zoomScale="85" zoomScaleNormal="85" workbookViewId="0">
      <selection activeCell="C3" sqref="C3"/>
    </sheetView>
  </sheetViews>
  <sheetFormatPr baseColWidth="10" defaultRowHeight="14"/>
  <cols>
    <col width="99.6328125" customWidth="1" style="98" min="1" max="1"/>
    <col width="19.54296875" customWidth="1" style="98" min="2" max="2"/>
    <col width="15.26953125" customWidth="1" style="98" min="3" max="3"/>
    <col width="10.90625" customWidth="1" style="98" min="4" max="7"/>
    <col width="27.08984375" customWidth="1" style="98" min="8" max="8"/>
    <col width="23.08984375" customWidth="1" style="98" min="9" max="9"/>
    <col width="18.1796875" customWidth="1" style="98" min="10" max="10"/>
    <col width="19" customWidth="1" style="98" min="11" max="11"/>
    <col width="22.08984375" customWidth="1" style="98" min="12" max="12"/>
    <col width="17.7265625" customWidth="1" style="98" min="13" max="13"/>
    <col width="10.90625" customWidth="1" style="98" min="14" max="16384"/>
  </cols>
  <sheetData>
    <row r="1">
      <c r="A1" s="99" t="inlineStr">
        <is>
          <t>c</t>
        </is>
      </c>
      <c r="B1" s="99" t="n"/>
      <c r="C1" s="99" t="n"/>
    </row>
    <row r="2">
      <c r="A2" s="100" t="n"/>
    </row>
    <row r="3" ht="207" customFormat="1" customHeight="1" s="2">
      <c r="A3" s="165" t="inlineStr">
        <is>
          <t xml:space="preserve">Les éléments de hors bilan recouvrent les garanties, les engagements, les instruments
dérivés et d'autres accords contractuels non comptabilisés au bilan.                                                                                                         Dans l'approche standard, chaque élément de hors bilan est converti en équivalent risque
de crédit (ERC) au moyen d'un facteur de conversion en équivalent crédit (FCEC) qui sert à
établir une projection de l'exposition potentielle au risque.
                                                                                                                                                                                                                       Le montant ERC d'une transaction de hors bilan est calculé en multipliant le montant
correspondant à la portion non utilisée, par le FCEC y relatif. Pour obtenir les APR de crédit
sur les engagements de hors bilan, le montant ERC ainsi défini est ensuite multiplié par la
pondération du risque qui dépend du type de contrepartie39 et de sa notation.
                                                                                                                                                                                                                           Les FCEC applicables aux éléments de hors bilan sont répartis en cinq (5) catégories
définies par ordre croissant selon le niveau de risque potentiel de la transaction. A cet égard,
les FCEC applicables sont les suivants </t>
        </is>
      </c>
    </row>
    <row r="4" ht="16.5" customFormat="1" customHeight="1" s="2">
      <c r="A4" s="101" t="n"/>
      <c r="B4" s="102" t="n"/>
      <c r="C4" s="102" t="n"/>
    </row>
    <row r="5" ht="15" customHeight="1" s="173">
      <c r="A5" s="103" t="inlineStr">
        <is>
          <t>Catégories des engagements hors bilan (FCEC)</t>
        </is>
      </c>
      <c r="B5" s="104" t="n"/>
      <c r="C5" s="104" t="n"/>
    </row>
    <row r="6" ht="14.5" customHeight="1" s="173">
      <c r="A6" s="105" t="n"/>
      <c r="B6" s="106" t="n"/>
      <c r="C6" s="106" t="n"/>
    </row>
    <row r="7" ht="15" customHeight="1" s="173">
      <c r="A7" s="107" t="inlineStr">
        <is>
          <t>Catégorie</t>
        </is>
      </c>
      <c r="B7" s="107" t="inlineStr">
        <is>
          <t>Niveau de risque</t>
        </is>
      </c>
      <c r="C7" s="107" t="inlineStr">
        <is>
          <t>FCEC (%)</t>
        </is>
      </c>
    </row>
    <row r="8" ht="15" customHeight="1" s="173">
      <c r="A8" s="108" t="inlineStr">
        <is>
          <t>Catégorie 1</t>
        </is>
      </c>
      <c r="B8" s="108" t="inlineStr">
        <is>
          <t>Risque faible</t>
        </is>
      </c>
      <c r="C8" s="109" t="n">
        <v>0.1</v>
      </c>
    </row>
    <row r="9" ht="15" customHeight="1" s="173">
      <c r="A9" s="110" t="inlineStr">
        <is>
          <t>Catégorie 2</t>
        </is>
      </c>
      <c r="B9" s="110" t="inlineStr">
        <is>
          <t>Risque mineur</t>
        </is>
      </c>
      <c r="C9" s="111" t="n">
        <v>0.2</v>
      </c>
    </row>
    <row r="10" ht="15" customHeight="1" s="173">
      <c r="A10" s="108" t="inlineStr">
        <is>
          <t>Catégorie 3</t>
        </is>
      </c>
      <c r="B10" s="108" t="inlineStr">
        <is>
          <t>Risque moyen</t>
        </is>
      </c>
      <c r="C10" s="109" t="n">
        <v>0.5</v>
      </c>
    </row>
    <row r="11" ht="15" customHeight="1" s="173">
      <c r="A11" s="110" t="inlineStr">
        <is>
          <t>Catégorie 4</t>
        </is>
      </c>
      <c r="B11" s="110" t="inlineStr">
        <is>
          <t>Risque élevé</t>
        </is>
      </c>
      <c r="C11" s="111" t="n">
        <v>0.75</v>
      </c>
    </row>
    <row r="12" ht="15" customHeight="1" s="173">
      <c r="A12" s="108" t="inlineStr">
        <is>
          <t>Catégorie 5</t>
        </is>
      </c>
      <c r="B12" s="108" t="inlineStr">
        <is>
          <t>Risque très élevé</t>
        </is>
      </c>
      <c r="C12" s="109" t="n">
        <v>1</v>
      </c>
    </row>
    <row r="13" ht="15" customHeight="1" s="173">
      <c r="A13" s="112" t="n"/>
      <c r="B13" s="112" t="n"/>
      <c r="C13" s="112" t="n"/>
    </row>
    <row r="14" ht="15" customHeight="1" s="173">
      <c r="A14" s="112" t="n"/>
      <c r="B14" s="112" t="n"/>
      <c r="C14" s="112" t="n"/>
    </row>
    <row r="15" ht="15" customHeight="1" s="173">
      <c r="A15" s="103" t="inlineStr">
        <is>
          <t>Tableau des Éléments du hors bilan associés à leurs  FCEC</t>
        </is>
      </c>
      <c r="B15" s="113" t="n"/>
      <c r="C15" s="113" t="n"/>
    </row>
    <row r="16" ht="15" customHeight="1" s="173">
      <c r="A16" s="112" t="n"/>
      <c r="B16" s="112" t="n"/>
      <c r="C16" s="112" t="n"/>
    </row>
    <row r="17" ht="15" customHeight="1" s="173">
      <c r="A17" s="107" t="inlineStr">
        <is>
          <t>Élément du hors bilan</t>
        </is>
      </c>
      <c r="B17" s="107" t="inlineStr">
        <is>
          <t>Catégorie</t>
        </is>
      </c>
      <c r="C17" s="107" t="inlineStr">
        <is>
          <t xml:space="preserve">FCEC </t>
        </is>
      </c>
    </row>
    <row r="18" ht="15" customHeight="1" s="173">
      <c r="A18" s="159" t="inlineStr">
        <is>
          <t>Engagements révocables sans condition (à tout moment, sans préavis ou caducs automatiquement)</t>
        </is>
      </c>
      <c r="B18" s="114" t="inlineStr">
        <is>
          <t>Catégorie 1</t>
        </is>
      </c>
      <c r="C18" s="115" t="n">
        <v>0.1</v>
      </c>
    </row>
    <row r="19" ht="15" customHeight="1" s="173">
      <c r="A19" s="157" t="inlineStr">
        <is>
          <t>Engagements ≤ 1 an non révocables sans condition</t>
        </is>
      </c>
      <c r="B19" s="116" t="inlineStr">
        <is>
          <t>Catégorie 2</t>
        </is>
      </c>
      <c r="C19" s="117" t="n">
        <v>0.2</v>
      </c>
    </row>
    <row r="20" ht="15" customHeight="1" s="173">
      <c r="A20" s="159" t="inlineStr">
        <is>
          <t>Lettres de crédit commerciales à court terme (crédits documentaires)</t>
        </is>
      </c>
      <c r="B20" s="114" t="inlineStr">
        <is>
          <t>Catégorie 2</t>
        </is>
      </c>
      <c r="C20" s="115" t="n">
        <v>0.2</v>
      </c>
    </row>
    <row r="21" ht="15" customHeight="1" s="173">
      <c r="A21" s="157" t="inlineStr">
        <is>
          <t>Engagements &gt; 1 an non révocables sans condition</t>
        </is>
      </c>
      <c r="B21" s="116" t="inlineStr">
        <is>
          <t>Catégorie 3</t>
        </is>
      </c>
      <c r="C21" s="117" t="n">
        <v>0.5</v>
      </c>
    </row>
    <row r="22" ht="15" customHeight="1" s="173">
      <c r="A22" s="159" t="inlineStr">
        <is>
          <t>Lettres de crédit documentaires non garanties par marchandises</t>
        </is>
      </c>
      <c r="B22" s="114" t="inlineStr">
        <is>
          <t>Catégorie 3</t>
        </is>
      </c>
      <c r="C22" s="115" t="n">
        <v>0.5</v>
      </c>
    </row>
    <row r="23" ht="15" customHeight="1" s="173">
      <c r="A23" s="159" t="inlineStr">
        <is>
          <t>Garanties de bonne exécution, de soumission, de tiers, crédits de confirmation</t>
        </is>
      </c>
      <c r="B23" s="114" t="inlineStr">
        <is>
          <t>Catégorie 3</t>
        </is>
      </c>
      <c r="C23" s="115" t="n">
        <v>0.5</v>
      </c>
    </row>
    <row r="24" ht="15" customHeight="1" s="173">
      <c r="A24" s="116" t="inlineStr">
        <is>
          <t>Facilités d’émission d’effets (FEE) et facilités de prise ferme renouvelables (FPR)</t>
        </is>
      </c>
      <c r="B24" s="116" t="inlineStr">
        <is>
          <t>Catégorie 4</t>
        </is>
      </c>
      <c r="C24" s="117" t="n">
        <v>0.75</v>
      </c>
    </row>
    <row r="25" ht="15" customHeight="1" s="173">
      <c r="A25" s="114" t="inlineStr">
        <is>
          <t>Substituts directs de crédit (garanties d’endettement, acceptations…)</t>
        </is>
      </c>
      <c r="B25" s="114" t="inlineStr">
        <is>
          <t>Catégorie 4</t>
        </is>
      </c>
      <c r="C25" s="115" t="n">
        <v>0.75</v>
      </c>
    </row>
    <row r="26" ht="15" customHeight="1" s="173">
      <c r="A26" s="116" t="inlineStr">
        <is>
          <t>Opérations assimilables à des pensions (repo / prêts de titres)</t>
        </is>
      </c>
      <c r="B26" s="116" t="inlineStr">
        <is>
          <t>Catégorie 5</t>
        </is>
      </c>
      <c r="C26" s="117" t="n">
        <v>1</v>
      </c>
    </row>
    <row r="27" ht="15" customHeight="1" s="173">
      <c r="A27" s="114" t="inlineStr">
        <is>
          <t>Cessions d’actifs avec recours (affacturage, escompte…)</t>
        </is>
      </c>
      <c r="B27" s="114" t="inlineStr">
        <is>
          <t>Catégorie 5</t>
        </is>
      </c>
      <c r="C27" s="115" t="n">
        <v>1</v>
      </c>
    </row>
    <row r="28" ht="15" customHeight="1" s="173">
      <c r="A28" s="114" t="inlineStr">
        <is>
          <t>Engagements d’achat d’actifs à terme / dépôts à terme contre terme</t>
        </is>
      </c>
      <c r="B28" s="114" t="inlineStr">
        <is>
          <t>Catégorie 5</t>
        </is>
      </c>
      <c r="C28" s="115" t="n">
        <v>1</v>
      </c>
    </row>
    <row r="29" ht="15" customHeight="1" s="173">
      <c r="A29" s="116" t="inlineStr">
        <is>
          <t>Fraction non versée d’actions / titres partiellement libérés</t>
        </is>
      </c>
      <c r="B29" s="116" t="inlineStr">
        <is>
          <t>Catégorie 5</t>
        </is>
      </c>
      <c r="C29" s="117" t="n">
        <v>1</v>
      </c>
    </row>
    <row r="30" ht="15" customHeight="1" s="173">
      <c r="A30" s="118" t="inlineStr">
        <is>
          <t>Autres éléments hors bilan non classés</t>
        </is>
      </c>
      <c r="B30" s="118" t="inlineStr">
        <is>
          <t>Catégorie 5</t>
        </is>
      </c>
      <c r="C30" s="119" t="n">
        <v>1</v>
      </c>
    </row>
    <row r="31">
      <c r="A31" s="120" t="n"/>
      <c r="B31" s="120" t="n"/>
      <c r="C31" s="120" t="n"/>
    </row>
    <row r="32">
      <c r="A32" s="120" t="n"/>
      <c r="B32" s="120" t="n"/>
      <c r="C32" s="120" t="n"/>
    </row>
  </sheetData>
  <pageMargins left="0.7" right="0.7" top="0.75" bottom="0.75" header="0.3" footer="0.3"/>
  <pageSetup orientation="portrait" paperSize="9"/>
</worksheet>
</file>

<file path=xl/worksheets/sheet18.xml><?xml version="1.0" encoding="utf-8"?>
<worksheet xmlns="http://schemas.openxmlformats.org/spreadsheetml/2006/main">
  <sheetPr codeName="Feuil18">
    <tabColor rgb="FF66FFFF"/>
    <outlinePr summaryBelow="1" summaryRight="1"/>
    <pageSetUpPr/>
  </sheetPr>
  <dimension ref="A1:E15"/>
  <sheetViews>
    <sheetView topLeftCell="A25" workbookViewId="0">
      <selection activeCell="A3" sqref="A3"/>
    </sheetView>
  </sheetViews>
  <sheetFormatPr baseColWidth="10" defaultRowHeight="14"/>
  <cols>
    <col width="58.7265625" customWidth="1" style="98" min="1" max="1"/>
    <col width="17.36328125" customWidth="1" style="98" min="2" max="2"/>
    <col width="22.90625" customWidth="1" style="98" min="3" max="3"/>
    <col width="14.453125" customWidth="1" style="98" min="4" max="4"/>
    <col width="13" customWidth="1" style="98" min="5" max="5"/>
    <col width="10.90625" customWidth="1" style="98" min="6" max="16384"/>
  </cols>
  <sheetData>
    <row r="1">
      <c r="A1" s="121" t="inlineStr">
        <is>
          <t>Mapping des ponderations</t>
        </is>
      </c>
      <c r="B1" s="121" t="n"/>
      <c r="C1" s="121" t="n"/>
      <c r="D1" s="121" t="n"/>
      <c r="E1" s="121" t="n"/>
    </row>
    <row r="2" ht="106" customHeight="1" s="173">
      <c r="A2" s="122" t="inlineStr">
        <is>
          <t xml:space="preserve">L'établissement peut utiliser les évaluations d'un ou plusieurs OEEC pour la
détermination des pondérations de risques de ses expositions. 
177. Le tableau de correspondance des notations des OEEC reconnus dans l'UMOA est
présenté ci-dessous </t>
        </is>
      </c>
      <c r="B2" s="123" t="n"/>
      <c r="C2" s="123" t="n"/>
      <c r="D2" s="123" t="n"/>
      <c r="E2" s="123" t="n"/>
    </row>
    <row r="3" ht="17.5" customHeight="1" s="173">
      <c r="A3" s="124" t="inlineStr">
        <is>
          <t>Correspondance des notations des OEEC reconnus dans l’UMOA</t>
        </is>
      </c>
      <c r="B3" s="123" t="n"/>
      <c r="C3" s="123" t="n"/>
      <c r="D3" s="123" t="n"/>
      <c r="E3" s="123" t="n"/>
    </row>
    <row r="4">
      <c r="A4" s="123" t="n"/>
      <c r="B4" s="123" t="n"/>
      <c r="C4" s="123" t="n"/>
      <c r="D4" s="123" t="n"/>
      <c r="E4" s="123" t="n"/>
    </row>
    <row r="5">
      <c r="A5" s="125" t="inlineStr">
        <is>
          <t>Pondération dans le cadre de l’approche standard</t>
        </is>
      </c>
      <c r="B5" s="125" t="inlineStr">
        <is>
          <t>DBRS</t>
        </is>
      </c>
      <c r="C5" s="125" t="inlineStr">
        <is>
          <t>Moody’s</t>
        </is>
      </c>
      <c r="D5" s="125" t="inlineStr">
        <is>
          <t>S&amp;P</t>
        </is>
      </c>
      <c r="E5" s="125" t="inlineStr">
        <is>
          <t>Fitch</t>
        </is>
      </c>
    </row>
    <row r="6">
      <c r="A6" s="126" t="inlineStr">
        <is>
          <t>1 (AAA à AA-)</t>
        </is>
      </c>
      <c r="B6" s="126" t="inlineStr">
        <is>
          <t>AAA à AA (faible)</t>
        </is>
      </c>
      <c r="C6" s="126" t="inlineStr">
        <is>
          <t>Aaa à Aa3</t>
        </is>
      </c>
      <c r="D6" s="126" t="inlineStr">
        <is>
          <t>AAA à AA-</t>
        </is>
      </c>
      <c r="E6" s="126" t="inlineStr">
        <is>
          <t>AAA à AA-</t>
        </is>
      </c>
    </row>
    <row r="7">
      <c r="A7" s="127" t="inlineStr">
        <is>
          <t>2 (A+ à A-)</t>
        </is>
      </c>
      <c r="B7" s="127" t="inlineStr">
        <is>
          <t>A (élevé) à A (faible)</t>
        </is>
      </c>
      <c r="C7" s="127" t="inlineStr">
        <is>
          <t>A1 à A3</t>
        </is>
      </c>
      <c r="D7" s="127" t="inlineStr">
        <is>
          <t>A+ à A-</t>
        </is>
      </c>
      <c r="E7" s="127" t="inlineStr">
        <is>
          <t>A+ à A-</t>
        </is>
      </c>
    </row>
    <row r="8">
      <c r="A8" s="126" t="inlineStr">
        <is>
          <t>3 (BBB+ à BBB-)</t>
        </is>
      </c>
      <c r="B8" s="126" t="inlineStr">
        <is>
          <t>BBB (élevé) à BBB (faible)</t>
        </is>
      </c>
      <c r="C8" s="126" t="inlineStr">
        <is>
          <t>Baa1 à Baa3</t>
        </is>
      </c>
      <c r="D8" s="126" t="inlineStr">
        <is>
          <t>BBB+ à BBB-</t>
        </is>
      </c>
      <c r="E8" s="126" t="inlineStr">
        <is>
          <t>BBB+ à BBB-</t>
        </is>
      </c>
    </row>
    <row r="9">
      <c r="A9" s="127" t="inlineStr">
        <is>
          <t>4 (BB+ à BB-)</t>
        </is>
      </c>
      <c r="B9" s="127" t="inlineStr">
        <is>
          <t>BB (élevé) à BB (faible)</t>
        </is>
      </c>
      <c r="C9" s="127" t="inlineStr">
        <is>
          <t>Ba1 à Ba3</t>
        </is>
      </c>
      <c r="D9" s="127" t="inlineStr">
        <is>
          <t>BB+ à BB-</t>
        </is>
      </c>
      <c r="E9" s="127" t="inlineStr">
        <is>
          <t>BB+ à BB-</t>
        </is>
      </c>
    </row>
    <row r="10">
      <c r="A10" s="126" t="inlineStr">
        <is>
          <t>5 (B+ à B-)</t>
        </is>
      </c>
      <c r="B10" s="126" t="inlineStr">
        <is>
          <t>B (élevé) à B (faible)</t>
        </is>
      </c>
      <c r="C10" s="126" t="inlineStr">
        <is>
          <t>B1 à B3</t>
        </is>
      </c>
      <c r="D10" s="126" t="inlineStr">
        <is>
          <t>B+ à B-</t>
        </is>
      </c>
      <c r="E10" s="126" t="inlineStr">
        <is>
          <t>B+ à B-</t>
        </is>
      </c>
    </row>
    <row r="11">
      <c r="A11" s="127" t="inlineStr">
        <is>
          <t>6 (Inférieure à B-)</t>
        </is>
      </c>
      <c r="B11" s="127" t="inlineStr">
        <is>
          <t>CCC ou inférieur</t>
        </is>
      </c>
      <c r="C11" s="127" t="inlineStr">
        <is>
          <t>Inférieur à B3</t>
        </is>
      </c>
      <c r="D11" s="127" t="inlineStr">
        <is>
          <t>Inférieur à B-</t>
        </is>
      </c>
      <c r="E11" s="127" t="inlineStr">
        <is>
          <t>Inférieur à B-</t>
        </is>
      </c>
    </row>
    <row r="12">
      <c r="A12" s="122" t="n"/>
      <c r="B12" s="122" t="n"/>
      <c r="C12" s="122" t="n"/>
      <c r="D12" s="122" t="n"/>
      <c r="E12" s="122" t="n"/>
    </row>
    <row r="13">
      <c r="A13" s="122" t="n"/>
      <c r="B13" s="122" t="n"/>
      <c r="C13" s="122" t="n"/>
      <c r="D13" s="122" t="n"/>
      <c r="E13" s="122" t="n"/>
    </row>
    <row r="14">
      <c r="A14" s="121" t="inlineStr">
        <is>
          <t>Remarque</t>
        </is>
      </c>
      <c r="B14" s="121" t="n"/>
      <c r="C14" s="121" t="n"/>
      <c r="D14" s="121" t="n"/>
      <c r="E14" s="121" t="n"/>
    </row>
    <row r="15" ht="134.5" customHeight="1" s="173">
      <c r="A15" s="122" t="inlineStr">
        <is>
          <t>L’établissement doit notifier à la Commission Bancaire, au moins 30 jours à l’avance, les OEEC dont il utilise les notations pour la pondération de ses expositions.
Les notations retenues doivent être utilisées de manière constante et cohérente pour chaque type de créance. Il est interdit de modifier ou de sélectionner les notations de différents OEEC dans le but d’obtenir des pondérations plus favorables.</t>
        </is>
      </c>
      <c r="B15" s="122" t="n"/>
      <c r="C15" s="122" t="n"/>
      <c r="D15" s="122" t="n"/>
      <c r="E15" s="122" t="n"/>
    </row>
  </sheetData>
  <pageMargins left="0.7" right="0.7" top="0.75" bottom="0.75" header="0.3" footer="0.3"/>
</worksheet>
</file>

<file path=xl/worksheets/sheet19.xml><?xml version="1.0" encoding="utf-8"?>
<worksheet xmlns="http://schemas.openxmlformats.org/spreadsheetml/2006/main">
  <sheetPr codeName="Feuil19">
    <outlinePr summaryBelow="1" summaryRight="1"/>
    <pageSetUpPr/>
  </sheetPr>
  <dimension ref="A1:W20"/>
  <sheetViews>
    <sheetView topLeftCell="P1" zoomScaleNormal="100" workbookViewId="0">
      <selection activeCell="S11" sqref="S11"/>
    </sheetView>
  </sheetViews>
  <sheetFormatPr baseColWidth="10" defaultColWidth="8.7265625" defaultRowHeight="14.5"/>
  <cols>
    <col width="14" customWidth="1" style="173" min="1" max="17"/>
    <col width="34" customWidth="1" style="173" min="19" max="20"/>
    <col width="28.1796875" customWidth="1" style="173" min="23" max="23"/>
  </cols>
  <sheetData>
    <row r="1">
      <c r="A1" s="128" t="inlineStr">
        <is>
          <t>Table de paramètres pour Excel web</t>
        </is>
      </c>
      <c r="B1" s="128" t="n"/>
      <c r="C1" s="128" t="n"/>
      <c r="D1" s="128" t="n"/>
      <c r="E1" s="128" t="n"/>
      <c r="F1" s="128" t="n"/>
      <c r="G1" s="128" t="n"/>
      <c r="H1" s="128" t="n"/>
      <c r="I1" s="128" t="n"/>
      <c r="J1" s="128" t="n"/>
      <c r="K1" s="128" t="n"/>
      <c r="L1" s="128" t="n"/>
      <c r="M1" s="128" t="n"/>
      <c r="N1" s="128" t="n"/>
      <c r="O1" s="128" t="n"/>
      <c r="P1" s="128" t="n"/>
      <c r="Q1" s="128" t="n"/>
      <c r="S1" s="128" t="inlineStr">
        <is>
          <t>(a) souverains</t>
        </is>
      </c>
      <c r="T1" s="128" t="inlineStr">
        <is>
          <t>AAA</t>
        </is>
      </c>
      <c r="W1" s="142" t="inlineStr">
        <is>
          <t>(a) souverains</t>
        </is>
      </c>
    </row>
    <row r="2">
      <c r="A2" s="128" t="inlineStr">
        <is>
          <t>Notation_norm</t>
        </is>
      </c>
      <c r="B2" s="128" t="inlineStr">
        <is>
          <t>RW_souverain</t>
        </is>
      </c>
      <c r="C2" s="128" t="n"/>
      <c r="D2" s="128" t="inlineStr">
        <is>
          <t>Notation_norm</t>
        </is>
      </c>
      <c r="E2" s="128" t="inlineStr">
        <is>
          <t>RW_org_pub</t>
        </is>
      </c>
      <c r="F2" s="128" t="n"/>
      <c r="G2" s="128" t="inlineStr">
        <is>
          <t>Notation_norm</t>
        </is>
      </c>
      <c r="H2" s="128" t="inlineStr">
        <is>
          <t>RW_entreprise</t>
        </is>
      </c>
      <c r="I2" s="128" t="n"/>
      <c r="J2" s="128" t="inlineStr">
        <is>
          <t>Notation_norm</t>
        </is>
      </c>
      <c r="K2" s="128" t="inlineStr">
        <is>
          <t>RW_inst_&lt;=3m</t>
        </is>
      </c>
      <c r="L2" s="128" t="n"/>
      <c r="M2" s="128" t="inlineStr">
        <is>
          <t>Notation_norm</t>
        </is>
      </c>
      <c r="N2" s="128" t="inlineStr">
        <is>
          <t>RW_inst_&gt;3m</t>
        </is>
      </c>
      <c r="O2" s="128" t="n"/>
      <c r="P2" s="128" t="inlineStr">
        <is>
          <t>Type_HB</t>
        </is>
      </c>
      <c r="Q2" s="128" t="inlineStr">
        <is>
          <t>CCF_HB</t>
        </is>
      </c>
      <c r="S2" t="inlineStr">
        <is>
          <t>(b) organismes pub. hors Adm c</t>
        </is>
      </c>
      <c r="T2" t="inlineStr">
        <is>
          <t>AA+</t>
        </is>
      </c>
      <c r="W2" s="130" t="inlineStr">
        <is>
          <t>(b) organismes pub. hors Adm c</t>
        </is>
      </c>
    </row>
    <row r="3">
      <c r="A3" t="inlineStr">
        <is>
          <t>AAA</t>
        </is>
      </c>
      <c r="B3" t="n">
        <v>0</v>
      </c>
      <c r="D3" t="inlineStr">
        <is>
          <t>AAA</t>
        </is>
      </c>
      <c r="E3" t="n">
        <v>0.2</v>
      </c>
      <c r="G3" t="inlineStr">
        <is>
          <t>AAA</t>
        </is>
      </c>
      <c r="H3" t="n">
        <v>0.2</v>
      </c>
      <c r="J3" t="inlineStr">
        <is>
          <t>AAA</t>
        </is>
      </c>
      <c r="K3" t="n">
        <v>0.2</v>
      </c>
      <c r="M3" t="inlineStr">
        <is>
          <t>AAA</t>
        </is>
      </c>
      <c r="N3" t="n">
        <v>0.2</v>
      </c>
      <c r="P3" t="inlineStr">
        <is>
          <t>Risque faible</t>
        </is>
      </c>
      <c r="Q3" t="n">
        <v>0.1</v>
      </c>
      <c r="S3" t="inlineStr">
        <is>
          <t>(c) Expositions sur les BMD</t>
        </is>
      </c>
      <c r="T3" t="inlineStr">
        <is>
          <t>AA</t>
        </is>
      </c>
      <c r="W3" s="130" t="inlineStr">
        <is>
          <t>(c) BMD</t>
        </is>
      </c>
    </row>
    <row r="4">
      <c r="A4" t="inlineStr">
        <is>
          <t>AA+</t>
        </is>
      </c>
      <c r="B4" t="n">
        <v>0</v>
      </c>
      <c r="D4" t="inlineStr">
        <is>
          <t>AA+</t>
        </is>
      </c>
      <c r="E4" t="n">
        <v>0.2</v>
      </c>
      <c r="G4" t="inlineStr">
        <is>
          <t>AA+</t>
        </is>
      </c>
      <c r="H4" t="n">
        <v>0.2</v>
      </c>
      <c r="J4" t="inlineStr">
        <is>
          <t>AA+</t>
        </is>
      </c>
      <c r="K4" t="n">
        <v>0.2</v>
      </c>
      <c r="M4" t="inlineStr">
        <is>
          <t>AA+</t>
        </is>
      </c>
      <c r="N4" t="n">
        <v>0.2</v>
      </c>
      <c r="P4" t="inlineStr">
        <is>
          <t>Risque mineur</t>
        </is>
      </c>
      <c r="Q4" t="n">
        <v>0.2</v>
      </c>
      <c r="S4" t="inlineStr">
        <is>
          <t>(d) institutions financières</t>
        </is>
      </c>
      <c r="T4" t="inlineStr">
        <is>
          <t>AA-</t>
        </is>
      </c>
      <c r="W4" s="130" t="inlineStr">
        <is>
          <t>(d) institutions financières</t>
        </is>
      </c>
    </row>
    <row r="5">
      <c r="A5" t="inlineStr">
        <is>
          <t>AA</t>
        </is>
      </c>
      <c r="B5" t="n">
        <v>0</v>
      </c>
      <c r="D5" t="inlineStr">
        <is>
          <t>AA</t>
        </is>
      </c>
      <c r="E5" t="n">
        <v>0.2</v>
      </c>
      <c r="G5" t="inlineStr">
        <is>
          <t>AA</t>
        </is>
      </c>
      <c r="H5" t="n">
        <v>0.2</v>
      </c>
      <c r="J5" t="inlineStr">
        <is>
          <t>AA</t>
        </is>
      </c>
      <c r="K5" t="n">
        <v>0.2</v>
      </c>
      <c r="M5" t="inlineStr">
        <is>
          <t>AA</t>
        </is>
      </c>
      <c r="N5" t="n">
        <v>0.2</v>
      </c>
      <c r="P5" t="inlineStr">
        <is>
          <t>Risque moyen</t>
        </is>
      </c>
      <c r="Q5" t="n">
        <v>0.5</v>
      </c>
      <c r="S5" t="inlineStr">
        <is>
          <t>(e) entreprises</t>
        </is>
      </c>
      <c r="T5" t="inlineStr">
        <is>
          <t>A+</t>
        </is>
      </c>
      <c r="W5" s="130" t="inlineStr">
        <is>
          <t>(e) entreprises</t>
        </is>
      </c>
    </row>
    <row r="6">
      <c r="A6" t="inlineStr">
        <is>
          <t>AA-</t>
        </is>
      </c>
      <c r="B6" t="n">
        <v>0</v>
      </c>
      <c r="D6" t="inlineStr">
        <is>
          <t>AA-</t>
        </is>
      </c>
      <c r="E6" t="n">
        <v>0.2</v>
      </c>
      <c r="G6" t="inlineStr">
        <is>
          <t>AA-</t>
        </is>
      </c>
      <c r="H6" t="n">
        <v>0.2</v>
      </c>
      <c r="J6" t="inlineStr">
        <is>
          <t>AA-</t>
        </is>
      </c>
      <c r="K6" t="n">
        <v>0.2</v>
      </c>
      <c r="M6" t="inlineStr">
        <is>
          <t>AA-</t>
        </is>
      </c>
      <c r="N6" t="n">
        <v>0.2</v>
      </c>
      <c r="P6" t="inlineStr">
        <is>
          <t>Risque élevé</t>
        </is>
      </c>
      <c r="Q6" t="n">
        <v>0.75</v>
      </c>
      <c r="S6" t="inlineStr">
        <is>
          <t>(f) clientèle de détail</t>
        </is>
      </c>
      <c r="T6" t="inlineStr">
        <is>
          <t>A</t>
        </is>
      </c>
      <c r="W6" s="130" t="inlineStr">
        <is>
          <t>(f) clientèle de détail</t>
        </is>
      </c>
    </row>
    <row r="7">
      <c r="A7" t="inlineStr">
        <is>
          <t>A+</t>
        </is>
      </c>
      <c r="B7" t="n">
        <v>0.2</v>
      </c>
      <c r="D7" t="inlineStr">
        <is>
          <t>A+</t>
        </is>
      </c>
      <c r="E7" t="n">
        <v>0.5</v>
      </c>
      <c r="G7" t="inlineStr">
        <is>
          <t>A+</t>
        </is>
      </c>
      <c r="H7" t="n">
        <v>0.5</v>
      </c>
      <c r="J7" t="inlineStr">
        <is>
          <t>A+</t>
        </is>
      </c>
      <c r="K7" t="n">
        <v>0.2</v>
      </c>
      <c r="M7" t="inlineStr">
        <is>
          <t>A+</t>
        </is>
      </c>
      <c r="N7" t="n">
        <v>0.5</v>
      </c>
      <c r="P7" t="inlineStr">
        <is>
          <t>Risque très élevé</t>
        </is>
      </c>
      <c r="Q7" t="n">
        <v>1</v>
      </c>
      <c r="S7" t="inlineStr">
        <is>
          <t>(g) prêts garantis par l'immo R</t>
        </is>
      </c>
      <c r="T7" t="inlineStr">
        <is>
          <t>A-</t>
        </is>
      </c>
      <c r="W7" s="130" t="inlineStr">
        <is>
          <t>(k) autres actifs</t>
        </is>
      </c>
    </row>
    <row r="8">
      <c r="A8" t="inlineStr">
        <is>
          <t>A</t>
        </is>
      </c>
      <c r="B8" t="n">
        <v>0.2</v>
      </c>
      <c r="D8" t="inlineStr">
        <is>
          <t>A</t>
        </is>
      </c>
      <c r="E8" t="n">
        <v>0.5</v>
      </c>
      <c r="G8" t="inlineStr">
        <is>
          <t>A</t>
        </is>
      </c>
      <c r="H8" t="n">
        <v>0.5</v>
      </c>
      <c r="J8" t="inlineStr">
        <is>
          <t>A</t>
        </is>
      </c>
      <c r="K8" t="n">
        <v>0.2</v>
      </c>
      <c r="M8" t="inlineStr">
        <is>
          <t>A</t>
        </is>
      </c>
      <c r="N8" t="n">
        <v>0.5</v>
      </c>
      <c r="S8" t="inlineStr">
        <is>
          <t>(h) prêts garantis par l'immo C</t>
        </is>
      </c>
      <c r="T8" t="inlineStr">
        <is>
          <t>BBB+</t>
        </is>
      </c>
    </row>
    <row r="9">
      <c r="A9" t="inlineStr">
        <is>
          <t>A-</t>
        </is>
      </c>
      <c r="B9" t="n">
        <v>0.2</v>
      </c>
      <c r="D9" t="inlineStr">
        <is>
          <t>A-</t>
        </is>
      </c>
      <c r="E9" t="n">
        <v>0.5</v>
      </c>
      <c r="G9" t="inlineStr">
        <is>
          <t>A-</t>
        </is>
      </c>
      <c r="H9" t="n">
        <v>0.5</v>
      </c>
      <c r="J9" t="inlineStr">
        <is>
          <t>A-</t>
        </is>
      </c>
      <c r="K9" t="n">
        <v>0.2</v>
      </c>
      <c r="M9" t="inlineStr">
        <is>
          <t>A-</t>
        </is>
      </c>
      <c r="N9" t="n">
        <v>0.5</v>
      </c>
      <c r="S9" t="inlineStr">
        <is>
          <t>(i) créances en souffrance</t>
        </is>
      </c>
      <c r="T9" t="inlineStr">
        <is>
          <t>BBB</t>
        </is>
      </c>
    </row>
    <row r="10">
      <c r="A10" t="inlineStr">
        <is>
          <t>BBB+</t>
        </is>
      </c>
      <c r="B10" t="n">
        <v>0.5</v>
      </c>
      <c r="D10" t="inlineStr">
        <is>
          <t>BBB+</t>
        </is>
      </c>
      <c r="E10" t="n">
        <v>1</v>
      </c>
      <c r="G10" t="inlineStr">
        <is>
          <t>BBB+</t>
        </is>
      </c>
      <c r="H10" t="n">
        <v>1</v>
      </c>
      <c r="J10" t="inlineStr">
        <is>
          <t>BBB+</t>
        </is>
      </c>
      <c r="K10" t="n">
        <v>0.2</v>
      </c>
      <c r="M10" t="inlineStr">
        <is>
          <t>BBB+</t>
        </is>
      </c>
      <c r="N10" t="n">
        <v>0.5</v>
      </c>
      <c r="S10" t="inlineStr">
        <is>
          <t>(j) créances à risque élevé</t>
        </is>
      </c>
      <c r="T10" t="inlineStr">
        <is>
          <t>BBB-</t>
        </is>
      </c>
    </row>
    <row r="11">
      <c r="A11" t="inlineStr">
        <is>
          <t>BBB</t>
        </is>
      </c>
      <c r="B11" t="n">
        <v>0.5</v>
      </c>
      <c r="D11" t="inlineStr">
        <is>
          <t>BBB</t>
        </is>
      </c>
      <c r="E11" t="n">
        <v>1</v>
      </c>
      <c r="G11" t="inlineStr">
        <is>
          <t>BBB</t>
        </is>
      </c>
      <c r="H11" t="n">
        <v>1</v>
      </c>
      <c r="J11" t="inlineStr">
        <is>
          <t>BBB</t>
        </is>
      </c>
      <c r="K11" t="n">
        <v>0.2</v>
      </c>
      <c r="M11" t="inlineStr">
        <is>
          <t>BBB</t>
        </is>
      </c>
      <c r="N11" t="n">
        <v>0.5</v>
      </c>
      <c r="S11" t="inlineStr">
        <is>
          <t>(k) autres actifs</t>
        </is>
      </c>
      <c r="T11" t="inlineStr">
        <is>
          <t>BB+</t>
        </is>
      </c>
    </row>
    <row r="12">
      <c r="A12" t="inlineStr">
        <is>
          <t>BBB-</t>
        </is>
      </c>
      <c r="B12" t="n">
        <v>0.5</v>
      </c>
      <c r="D12" t="inlineStr">
        <is>
          <t>BBB-</t>
        </is>
      </c>
      <c r="E12" t="n">
        <v>1</v>
      </c>
      <c r="G12" t="inlineStr">
        <is>
          <t>BBB-</t>
        </is>
      </c>
      <c r="H12" t="n">
        <v>1</v>
      </c>
      <c r="J12" t="inlineStr">
        <is>
          <t>BBB-</t>
        </is>
      </c>
      <c r="K12" t="n">
        <v>0.2</v>
      </c>
      <c r="M12" t="inlineStr">
        <is>
          <t>BBB-</t>
        </is>
      </c>
      <c r="N12" t="n">
        <v>0.5</v>
      </c>
      <c r="S12" t="inlineStr">
        <is>
          <t>(l) Hors bilan</t>
        </is>
      </c>
      <c r="T12" t="inlineStr">
        <is>
          <t>BB</t>
        </is>
      </c>
    </row>
    <row r="13">
      <c r="A13" t="inlineStr">
        <is>
          <t>BB+</t>
        </is>
      </c>
      <c r="B13" t="n">
        <v>1</v>
      </c>
      <c r="D13" t="inlineStr">
        <is>
          <t>BB+</t>
        </is>
      </c>
      <c r="E13" t="n">
        <v>1</v>
      </c>
      <c r="G13" t="inlineStr">
        <is>
          <t>BB+</t>
        </is>
      </c>
      <c r="H13" t="n">
        <v>1</v>
      </c>
      <c r="J13" t="inlineStr">
        <is>
          <t>BB+</t>
        </is>
      </c>
      <c r="K13" t="n">
        <v>0.5</v>
      </c>
      <c r="M13" t="inlineStr">
        <is>
          <t>BB+</t>
        </is>
      </c>
      <c r="N13" t="n">
        <v>1</v>
      </c>
      <c r="T13" t="inlineStr">
        <is>
          <t>BB-</t>
        </is>
      </c>
    </row>
    <row r="14">
      <c r="A14" t="inlineStr">
        <is>
          <t>BB</t>
        </is>
      </c>
      <c r="B14" t="n">
        <v>1</v>
      </c>
      <c r="D14" t="inlineStr">
        <is>
          <t>BB</t>
        </is>
      </c>
      <c r="E14" t="n">
        <v>1</v>
      </c>
      <c r="G14" t="inlineStr">
        <is>
          <t>BB</t>
        </is>
      </c>
      <c r="H14" t="n">
        <v>1</v>
      </c>
      <c r="J14" t="inlineStr">
        <is>
          <t>BB</t>
        </is>
      </c>
      <c r="K14" t="n">
        <v>0.5</v>
      </c>
      <c r="M14" t="inlineStr">
        <is>
          <t>BB</t>
        </is>
      </c>
      <c r="N14" t="n">
        <v>1</v>
      </c>
      <c r="T14" t="inlineStr">
        <is>
          <t>B+</t>
        </is>
      </c>
    </row>
    <row r="15">
      <c r="A15" t="inlineStr">
        <is>
          <t>BB-</t>
        </is>
      </c>
      <c r="B15" t="n">
        <v>1</v>
      </c>
      <c r="D15" t="inlineStr">
        <is>
          <t>BB-</t>
        </is>
      </c>
      <c r="E15" t="n">
        <v>1</v>
      </c>
      <c r="G15" t="inlineStr">
        <is>
          <t>BB-</t>
        </is>
      </c>
      <c r="H15" t="n">
        <v>1</v>
      </c>
      <c r="J15" t="inlineStr">
        <is>
          <t>BB-</t>
        </is>
      </c>
      <c r="K15" t="n">
        <v>0.5</v>
      </c>
      <c r="M15" t="inlineStr">
        <is>
          <t>BB-</t>
        </is>
      </c>
      <c r="N15" t="n">
        <v>1</v>
      </c>
      <c r="T15" t="inlineStr">
        <is>
          <t>B</t>
        </is>
      </c>
    </row>
    <row r="16">
      <c r="A16" t="inlineStr">
        <is>
          <t>B+</t>
        </is>
      </c>
      <c r="B16" t="n">
        <v>1</v>
      </c>
      <c r="D16" t="inlineStr">
        <is>
          <t>B+</t>
        </is>
      </c>
      <c r="E16" t="n">
        <v>1</v>
      </c>
      <c r="G16" t="inlineStr">
        <is>
          <t>B+</t>
        </is>
      </c>
      <c r="H16" t="n">
        <v>1.5</v>
      </c>
      <c r="J16" t="inlineStr">
        <is>
          <t>B+</t>
        </is>
      </c>
      <c r="K16" t="n">
        <v>0.5</v>
      </c>
      <c r="M16" t="inlineStr">
        <is>
          <t>B+</t>
        </is>
      </c>
      <c r="N16" t="n">
        <v>1</v>
      </c>
      <c r="T16" t="inlineStr">
        <is>
          <t>B-</t>
        </is>
      </c>
    </row>
    <row r="17">
      <c r="A17" t="inlineStr">
        <is>
          <t>B</t>
        </is>
      </c>
      <c r="B17" t="n">
        <v>1</v>
      </c>
      <c r="D17" t="inlineStr">
        <is>
          <t>B</t>
        </is>
      </c>
      <c r="E17" t="n">
        <v>1</v>
      </c>
      <c r="G17" t="inlineStr">
        <is>
          <t>B</t>
        </is>
      </c>
      <c r="H17" t="n">
        <v>1.5</v>
      </c>
      <c r="J17" t="inlineStr">
        <is>
          <t>B</t>
        </is>
      </c>
      <c r="K17" t="n">
        <v>0.5</v>
      </c>
      <c r="M17" t="inlineStr">
        <is>
          <t>B</t>
        </is>
      </c>
      <c r="N17" t="n">
        <v>1</v>
      </c>
      <c r="T17" t="inlineStr">
        <is>
          <t>&lt; B-</t>
        </is>
      </c>
    </row>
    <row r="18">
      <c r="A18" t="inlineStr">
        <is>
          <t>B-</t>
        </is>
      </c>
      <c r="B18" t="n">
        <v>1</v>
      </c>
      <c r="D18" t="inlineStr">
        <is>
          <t>B-</t>
        </is>
      </c>
      <c r="E18" t="n">
        <v>1</v>
      </c>
      <c r="G18" t="inlineStr">
        <is>
          <t>B-</t>
        </is>
      </c>
      <c r="H18" t="n">
        <v>1.5</v>
      </c>
      <c r="J18" t="inlineStr">
        <is>
          <t>B-</t>
        </is>
      </c>
      <c r="K18" t="n">
        <v>0.5</v>
      </c>
      <c r="M18" t="inlineStr">
        <is>
          <t>B-</t>
        </is>
      </c>
      <c r="N18" t="n">
        <v>1</v>
      </c>
      <c r="T18" t="inlineStr">
        <is>
          <t>Non noté</t>
        </is>
      </c>
    </row>
    <row r="19">
      <c r="A19" t="inlineStr">
        <is>
          <t>&lt; B-</t>
        </is>
      </c>
      <c r="B19" t="n">
        <v>1.5</v>
      </c>
      <c r="D19" t="inlineStr">
        <is>
          <t>&lt; B-</t>
        </is>
      </c>
      <c r="E19" t="n">
        <v>1.5</v>
      </c>
      <c r="G19" t="inlineStr">
        <is>
          <t>&lt; B-</t>
        </is>
      </c>
      <c r="H19" t="n">
        <v>1.5</v>
      </c>
      <c r="J19" t="inlineStr">
        <is>
          <t>&lt; B-</t>
        </is>
      </c>
      <c r="K19" t="n">
        <v>2.5</v>
      </c>
      <c r="M19" t="inlineStr">
        <is>
          <t>&lt; B-</t>
        </is>
      </c>
      <c r="N19" t="n">
        <v>2.5</v>
      </c>
    </row>
    <row r="20">
      <c r="A20" t="inlineStr">
        <is>
          <t>Non noté</t>
        </is>
      </c>
      <c r="B20" t="n">
        <v>1</v>
      </c>
      <c r="D20" t="inlineStr">
        <is>
          <t>Non noté</t>
        </is>
      </c>
      <c r="E20" t="n">
        <v>1</v>
      </c>
      <c r="G20" t="inlineStr">
        <is>
          <t>Non noté</t>
        </is>
      </c>
      <c r="H20" t="n">
        <v>1</v>
      </c>
      <c r="J20" t="inlineStr">
        <is>
          <t>Non noté</t>
        </is>
      </c>
      <c r="K20" t="n">
        <v>1</v>
      </c>
      <c r="M20" t="inlineStr">
        <is>
          <t>Non noté</t>
        </is>
      </c>
      <c r="N20" t="n">
        <v>1</v>
      </c>
    </row>
  </sheetData>
  <pageMargins left="0.7" right="0.7" top="0.75" bottom="0.75" header="0.3" footer="0.3"/>
</worksheet>
</file>

<file path=xl/worksheets/sheet20.xml><?xml version="1.0" encoding="utf-8"?>
<worksheet xmlns="http://schemas.openxmlformats.org/spreadsheetml/2006/main">
  <sheetPr codeName="Feuil20">
    <outlinePr summaryBelow="1" summaryRight="1"/>
    <pageSetUpPr/>
  </sheetPr>
  <dimension ref="A1:H9"/>
  <sheetViews>
    <sheetView workbookViewId="0">
      <selection activeCell="C13" sqref="C13"/>
    </sheetView>
  </sheetViews>
  <sheetFormatPr baseColWidth="10" defaultColWidth="8.7265625" defaultRowHeight="14.5"/>
  <cols>
    <col width="20" customWidth="1" style="173" min="1" max="1"/>
    <col width="95" customWidth="1" style="173" min="2" max="2"/>
  </cols>
  <sheetData>
    <row r="1" ht="18.5" customHeight="1" s="173">
      <c r="A1" s="176" t="inlineStr">
        <is>
          <t>Guide d'utilisation - version Excel web</t>
        </is>
      </c>
    </row>
    <row r="2" ht="87" customHeight="1" s="173">
      <c r="A2" s="129" t="inlineStr">
        <is>
          <t>Ce classeur est conçu pour Excel en ligne (navigateur). Il ne nécessite pas VBA, donc Alt+F11 n'est pas requis.</t>
        </is>
      </c>
      <c r="B2" s="129" t="n"/>
    </row>
    <row r="3">
      <c r="A3" s="129" t="inlineStr">
        <is>
          <t>Feuille principale</t>
        </is>
      </c>
      <c r="B3" s="129" t="inlineStr">
        <is>
          <t>Template données</t>
        </is>
      </c>
    </row>
    <row r="4" ht="29" customHeight="1" s="173">
      <c r="A4" s="129" t="inlineStr">
        <is>
          <t>Principe</t>
        </is>
      </c>
      <c r="B4" s="129" t="inlineStr">
        <is>
          <t>Les autres feuilles contiennent les barèmes et traitements par catégorie. La saisie et le calcul principal se font dans Template données.</t>
        </is>
      </c>
    </row>
    <row r="5">
      <c r="A5" s="129" t="inlineStr">
        <is>
          <t>Colonnes à saisir</t>
        </is>
      </c>
      <c r="B5" s="129" t="inlineStr">
        <is>
          <t>A à J, N à Q selon le besoin métier</t>
        </is>
      </c>
    </row>
    <row r="6">
      <c r="A6" s="129" t="inlineStr">
        <is>
          <t>Calcul automatique</t>
        </is>
      </c>
      <c r="B6" s="129" t="inlineStr">
        <is>
          <t>K = RW pays ; M = RW final ; R à U = EAD, RWA et capital minimum</t>
        </is>
      </c>
    </row>
    <row r="7">
      <c r="A7" s="129" t="inlineStr">
        <is>
          <t>Règle non noté</t>
        </is>
      </c>
      <c r="B7" s="129" t="inlineStr">
        <is>
          <t>Pour les entreprises et le hors bilan, si la contrepartie n'est pas notée alors RW = MAX(RW pays ; 100%)</t>
        </is>
      </c>
    </row>
    <row r="8" ht="29" customHeight="1" s="173">
      <c r="A8" s="129" t="inlineStr">
        <is>
          <t>Point d'attention</t>
        </is>
      </c>
      <c r="B8" s="129" t="inlineStr">
        <is>
          <t>La catégorie (i) créances en souffrance est paramétrée de façon prudente à 150% en l'absence d'informations de provisions détaillées.</t>
        </is>
      </c>
    </row>
    <row r="9" ht="29" customHeight="1" s="173">
      <c r="A9" s="129" t="inlineStr">
        <is>
          <t>Point d'attention</t>
        </is>
      </c>
      <c r="B9" s="129" t="inlineStr">
        <is>
          <t>La catégorie (l) Hors bilan utilise le CCF du tableau hors bilan, puis un RW par défaut de type entreprise lorsque seule la notation est disponible.</t>
        </is>
      </c>
    </row>
  </sheetData>
  <mergeCells count="1">
    <mergeCell ref="A1:H1"/>
  </mergeCell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C23"/>
  <sheetViews>
    <sheetView workbookViewId="0">
      <selection activeCell="A1" sqref="A1"/>
    </sheetView>
  </sheetViews>
  <sheetFormatPr baseColWidth="8" defaultRowHeight="15"/>
  <sheetData>
    <row r="1">
      <c r="A1" s="177" t="inlineStr">
        <is>
          <t>Sources des listes deroulantes ajoutees</t>
        </is>
      </c>
    </row>
    <row r="2">
      <c r="A2" s="177" t="inlineStr">
        <is>
          <t>Type_autre_actif</t>
        </is>
      </c>
      <c r="B2" s="177" t="inlineStr">
        <is>
          <t>Type_Collatéral</t>
        </is>
      </c>
      <c r="C2" s="177" t="inlineStr">
        <is>
          <t>Secteur_activite</t>
        </is>
      </c>
    </row>
    <row r="3">
      <c r="A3" t="inlineStr">
        <is>
          <t>Encaisse</t>
        </is>
      </c>
      <c r="B3" t="inlineStr">
        <is>
          <t>Liquidités dans la même devise</t>
        </is>
      </c>
      <c r="C3" t="inlineStr">
        <is>
          <t>Agriculture, elevage, sylviculture</t>
        </is>
      </c>
    </row>
    <row r="4">
      <c r="A4" t="inlineStr">
        <is>
          <t>Valeurs assimilées à l’encaisse, y compris l’or</t>
        </is>
      </c>
      <c r="B4" t="inlineStr">
        <is>
          <t>Liquidités dans une devise différente</t>
        </is>
      </c>
      <c r="C4" t="inlineStr">
        <is>
          <t>Peche et aquaculture</t>
        </is>
      </c>
    </row>
    <row r="5">
      <c r="A5" t="inlineStr">
        <is>
          <t>Valeurs à l’encaissement avec crédit immédiat</t>
        </is>
      </c>
      <c r="B5" t="inlineStr">
        <is>
          <t>Or</t>
        </is>
      </c>
      <c r="C5" t="inlineStr">
        <is>
          <t>Industries extractives</t>
        </is>
      </c>
    </row>
    <row r="6">
      <c r="A6" t="inlineStr">
        <is>
          <t>Participations non significatives non déduites des fonds propres</t>
        </is>
      </c>
      <c r="B6" t="inlineStr">
        <is>
          <t>Titre de dette souverain</t>
        </is>
      </c>
      <c r="C6" t="inlineStr">
        <is>
          <t>Industries manufacturieres</t>
        </is>
      </c>
    </row>
    <row r="7">
      <c r="A7" t="inlineStr">
        <is>
          <t>Immobilisations corporelles</t>
        </is>
      </c>
      <c r="B7" t="inlineStr">
        <is>
          <t>Titre non noté émis par un État de l UMOA</t>
        </is>
      </c>
      <c r="C7" t="inlineStr">
        <is>
          <t>Agro-industrie</t>
        </is>
      </c>
    </row>
    <row r="8">
      <c r="A8" t="inlineStr">
        <is>
          <t>Immobilisations hors exploitation</t>
        </is>
      </c>
      <c r="B8" t="inlineStr">
        <is>
          <t>Titre de dette émis par un autre émetteur</t>
        </is>
      </c>
      <c r="C8" t="inlineStr">
        <is>
          <t>Electricite, gaz et eau</t>
        </is>
      </c>
    </row>
    <row r="9">
      <c r="A9" t="inlineStr">
        <is>
          <t>Immobilisations incorporelles</t>
        </is>
      </c>
      <c r="B9" t="inlineStr">
        <is>
          <t>Titre garanti par un agent agréé par la BRVM</t>
        </is>
      </c>
      <c r="C9" t="inlineStr">
        <is>
          <t>Batiment et travaux publics</t>
        </is>
      </c>
    </row>
    <row r="10">
      <c r="A10" t="inlineStr">
        <is>
          <t>Autres actifs divers</t>
        </is>
      </c>
      <c r="B10" t="inlineStr">
        <is>
          <t>Titre bancaire non noté</t>
        </is>
      </c>
      <c r="C10" t="inlineStr">
        <is>
          <t>Commerce de gros et de detail</t>
        </is>
      </c>
    </row>
    <row r="11">
      <c r="A11" t="inlineStr">
        <is>
          <t>Engagements en actions non déduits</t>
        </is>
      </c>
      <c r="B11" t="inlineStr">
        <is>
          <t>Action de l indice BRVM 10</t>
        </is>
      </c>
      <c r="C11" t="inlineStr">
        <is>
          <t>Transports et entreposage</t>
        </is>
      </c>
    </row>
    <row r="12">
      <c r="A12" t="inlineStr">
        <is>
          <t>Expositions sur entreprises financières non soumises à une réglementation équivalente UMOA</t>
        </is>
      </c>
      <c r="B12" t="inlineStr">
        <is>
          <t>Action d un indice principal reconnu</t>
        </is>
      </c>
      <c r="C12" t="inlineStr">
        <is>
          <t>Hebergement et restauration</t>
        </is>
      </c>
    </row>
    <row r="13">
      <c r="A13" t="inlineStr">
        <is>
          <t>Autres éléments d’actifs non définis</t>
        </is>
      </c>
      <c r="B13" t="inlineStr">
        <is>
          <t>Autre action cotée à la BRVM ou sur une bourse reconnue</t>
        </is>
      </c>
      <c r="C13" t="inlineStr">
        <is>
          <t>Information et communication</t>
        </is>
      </c>
    </row>
    <row r="14">
      <c r="A14" t="inlineStr">
        <is>
          <t>Participations significatives et impôts différés actifs non déduits</t>
        </is>
      </c>
      <c r="B14" t="inlineStr">
        <is>
          <t>Obligation convertible en action</t>
        </is>
      </c>
      <c r="C14" t="inlineStr">
        <is>
          <t>Activites financieres et d'assurance</t>
        </is>
      </c>
    </row>
    <row r="15">
      <c r="A15" t="inlineStr">
        <is>
          <t>Expositions sur établissements non conformes aux ratios de solvabilité</t>
        </is>
      </c>
      <c r="B15" t="inlineStr">
        <is>
          <t>OPCVM / FI</t>
        </is>
      </c>
      <c r="C15" t="inlineStr">
        <is>
          <t>Activites immobilieres</t>
        </is>
      </c>
    </row>
    <row r="16">
      <c r="B16" t="inlineStr">
        <is>
          <t>Panier d actifs</t>
        </is>
      </c>
      <c r="C16" t="inlineStr">
        <is>
          <t>Activites specialisees, scientifiques et techniques</t>
        </is>
      </c>
    </row>
    <row r="17">
      <c r="B17" t="inlineStr">
        <is>
          <t>Autre sûreté non éligible</t>
        </is>
      </c>
      <c r="C17" t="inlineStr">
        <is>
          <t>Services administratifs et de soutien</t>
        </is>
      </c>
    </row>
    <row r="18">
      <c r="C18" t="inlineStr">
        <is>
          <t>Administration publique</t>
        </is>
      </c>
    </row>
    <row r="19">
      <c r="C19" t="inlineStr">
        <is>
          <t>Enseignement</t>
        </is>
      </c>
    </row>
    <row r="20">
      <c r="C20" t="inlineStr">
        <is>
          <t>Sante humaine et action sociale</t>
        </is>
      </c>
    </row>
    <row r="21">
      <c r="C21" t="inlineStr">
        <is>
          <t>Arts, spectacles et loisirs</t>
        </is>
      </c>
    </row>
    <row r="22">
      <c r="C22" t="inlineStr">
        <is>
          <t>Autres services</t>
        </is>
      </c>
    </row>
    <row r="23">
      <c r="C23" t="inlineStr">
        <is>
          <t>Menages et particuliers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2026-08-17T11:10:16Z</dcterms:created>
  <dcterms:modified xsi:type="dcterms:W3CDTF">2026-08-21T15:58:10Z</dcterms:modified>
  <cp:lastModifiedBy>Pascal KOUADIO</cp:lastModifiedBy>
</cp:coreProperties>
</file>